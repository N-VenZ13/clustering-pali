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okumen'\KULIAH\Semester 6 Last Dance\LA\"/>
    </mc:Choice>
  </mc:AlternateContent>
  <xr:revisionPtr revIDLastSave="0" documentId="13_ncr:1_{3D928B42-5DB1-4BDB-8D32-A64168B4021C}" xr6:coauthVersionLast="47" xr6:coauthVersionMax="47" xr10:uidLastSave="{00000000-0000-0000-0000-000000000000}"/>
  <bookViews>
    <workbookView xWindow="-110" yWindow="-110" windowWidth="19420" windowHeight="11020" xr2:uid="{933158CA-757F-4BB5-A7DD-1BDBA99538BF}"/>
  </bookViews>
  <sheets>
    <sheet name="Data indikator" sheetId="1" r:id="rId1"/>
    <sheet name="Multivariabel + Perhitung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73" i="2" l="1"/>
  <c r="AB73" i="2"/>
  <c r="V73" i="2"/>
  <c r="Q73" i="2"/>
  <c r="G73" i="2"/>
  <c r="AI72" i="2"/>
  <c r="AB72" i="2"/>
  <c r="V72" i="2"/>
  <c r="Q72" i="2"/>
  <c r="G72" i="2"/>
  <c r="AI71" i="2"/>
  <c r="AB71" i="2"/>
  <c r="V71" i="2"/>
  <c r="Q71" i="2"/>
  <c r="G71" i="2"/>
  <c r="AI70" i="2"/>
  <c r="AB70" i="2"/>
  <c r="V70" i="2"/>
  <c r="Q70" i="2"/>
  <c r="G70" i="2"/>
  <c r="AI69" i="2"/>
  <c r="AB69" i="2"/>
  <c r="V69" i="2"/>
  <c r="Q69" i="2"/>
  <c r="G69" i="2"/>
  <c r="AI68" i="2"/>
  <c r="AB68" i="2"/>
  <c r="V68" i="2"/>
  <c r="Q68" i="2"/>
  <c r="G68" i="2"/>
  <c r="AI67" i="2"/>
  <c r="AB67" i="2"/>
  <c r="V67" i="2"/>
  <c r="Q67" i="2"/>
  <c r="G67" i="2"/>
  <c r="AI66" i="2"/>
  <c r="AB66" i="2"/>
  <c r="V66" i="2"/>
  <c r="Q66" i="2"/>
  <c r="G66" i="2"/>
  <c r="AI65" i="2"/>
  <c r="AB65" i="2"/>
  <c r="V65" i="2"/>
  <c r="Q65" i="2"/>
  <c r="G65" i="2"/>
  <c r="AI64" i="2"/>
  <c r="AB64" i="2"/>
  <c r="V64" i="2"/>
  <c r="Q64" i="2"/>
  <c r="G64" i="2"/>
  <c r="AI63" i="2"/>
  <c r="AB63" i="2"/>
  <c r="V63" i="2"/>
  <c r="Q63" i="2"/>
  <c r="G63" i="2"/>
  <c r="AI62" i="2"/>
  <c r="AB62" i="2"/>
  <c r="V62" i="2"/>
  <c r="Q62" i="2"/>
  <c r="G62" i="2"/>
  <c r="AI61" i="2"/>
  <c r="AB61" i="2"/>
  <c r="V61" i="2"/>
  <c r="Q61" i="2"/>
  <c r="G61" i="2"/>
  <c r="AI60" i="2"/>
  <c r="AB60" i="2"/>
  <c r="V60" i="2"/>
  <c r="Q60" i="2"/>
  <c r="G60" i="2"/>
  <c r="AI59" i="2"/>
  <c r="AB59" i="2"/>
  <c r="V59" i="2"/>
  <c r="Q59" i="2"/>
  <c r="G59" i="2"/>
  <c r="AI58" i="2"/>
  <c r="AB58" i="2"/>
  <c r="V58" i="2"/>
  <c r="Q58" i="2"/>
  <c r="G58" i="2"/>
  <c r="AI57" i="2"/>
  <c r="AB57" i="2"/>
  <c r="V57" i="2"/>
  <c r="Q57" i="2"/>
  <c r="G57" i="2"/>
  <c r="AI56" i="2"/>
  <c r="AB56" i="2"/>
  <c r="V56" i="2"/>
  <c r="Q56" i="2"/>
  <c r="G56" i="2"/>
  <c r="AI55" i="2"/>
  <c r="AB55" i="2"/>
  <c r="V55" i="2"/>
  <c r="Q55" i="2"/>
  <c r="G55" i="2"/>
  <c r="AI54" i="2"/>
  <c r="AB54" i="2"/>
  <c r="V54" i="2"/>
  <c r="Q54" i="2"/>
  <c r="G54" i="2"/>
  <c r="AI53" i="2"/>
  <c r="AB53" i="2"/>
  <c r="V53" i="2"/>
  <c r="Q53" i="2"/>
  <c r="G53" i="2"/>
  <c r="AI52" i="2"/>
  <c r="AB52" i="2"/>
  <c r="V52" i="2"/>
  <c r="Q52" i="2"/>
  <c r="G52" i="2"/>
  <c r="AI51" i="2"/>
  <c r="AB51" i="2"/>
  <c r="V51" i="2"/>
  <c r="Q51" i="2"/>
  <c r="G51" i="2"/>
  <c r="AI50" i="2"/>
  <c r="AB50" i="2"/>
  <c r="V50" i="2"/>
  <c r="Q50" i="2"/>
  <c r="G50" i="2"/>
  <c r="AI49" i="2"/>
  <c r="AB49" i="2"/>
  <c r="V49" i="2"/>
  <c r="Q49" i="2"/>
  <c r="G49" i="2"/>
  <c r="AI48" i="2"/>
  <c r="AB48" i="2"/>
  <c r="V48" i="2"/>
  <c r="Q48" i="2"/>
  <c r="G48" i="2"/>
  <c r="AI47" i="2"/>
  <c r="AB47" i="2"/>
  <c r="V47" i="2"/>
  <c r="Q47" i="2"/>
  <c r="G47" i="2"/>
  <c r="AI46" i="2"/>
  <c r="AB46" i="2"/>
  <c r="V46" i="2"/>
  <c r="Q46" i="2"/>
  <c r="G46" i="2"/>
  <c r="AI45" i="2"/>
  <c r="AB45" i="2"/>
  <c r="V45" i="2"/>
  <c r="Q45" i="2"/>
  <c r="G45" i="2"/>
  <c r="AI44" i="2"/>
  <c r="AB44" i="2"/>
  <c r="V44" i="2"/>
  <c r="Q44" i="2"/>
  <c r="G44" i="2"/>
  <c r="AI43" i="2"/>
  <c r="AB43" i="2"/>
  <c r="V43" i="2"/>
  <c r="Q43" i="2"/>
  <c r="G43" i="2"/>
  <c r="AI42" i="2"/>
  <c r="AB42" i="2"/>
  <c r="V42" i="2"/>
  <c r="Q42" i="2"/>
  <c r="G42" i="2"/>
  <c r="AI41" i="2"/>
  <c r="AB41" i="2"/>
  <c r="V41" i="2"/>
  <c r="Q41" i="2"/>
  <c r="G41" i="2"/>
  <c r="AI40" i="2"/>
  <c r="AB40" i="2"/>
  <c r="V40" i="2"/>
  <c r="Q40" i="2"/>
  <c r="G40" i="2"/>
  <c r="AI39" i="2"/>
  <c r="AB39" i="2"/>
  <c r="V39" i="2"/>
  <c r="Q39" i="2"/>
  <c r="G39" i="2"/>
  <c r="AI38" i="2"/>
  <c r="AB38" i="2"/>
  <c r="V38" i="2"/>
  <c r="Q38" i="2"/>
  <c r="G38" i="2"/>
  <c r="AI37" i="2"/>
  <c r="AB37" i="2"/>
  <c r="V37" i="2"/>
  <c r="Q37" i="2"/>
  <c r="G37" i="2"/>
  <c r="AI36" i="2"/>
  <c r="AB36" i="2"/>
  <c r="V36" i="2"/>
  <c r="Q36" i="2"/>
  <c r="G36" i="2"/>
  <c r="AI35" i="2"/>
  <c r="AB35" i="2"/>
  <c r="V35" i="2"/>
  <c r="Q35" i="2"/>
  <c r="G35" i="2"/>
  <c r="AI34" i="2"/>
  <c r="AB34" i="2"/>
  <c r="V34" i="2"/>
  <c r="Q34" i="2"/>
  <c r="G34" i="2"/>
  <c r="AI33" i="2"/>
  <c r="AB33" i="2"/>
  <c r="V33" i="2"/>
  <c r="Q33" i="2"/>
  <c r="G33" i="2"/>
  <c r="AI32" i="2"/>
  <c r="AB32" i="2"/>
  <c r="V32" i="2"/>
  <c r="Q32" i="2"/>
  <c r="G32" i="2"/>
  <c r="AI31" i="2"/>
  <c r="AB31" i="2"/>
  <c r="V31" i="2"/>
  <c r="Q31" i="2"/>
  <c r="G31" i="2"/>
  <c r="AI30" i="2"/>
  <c r="AB30" i="2"/>
  <c r="V30" i="2"/>
  <c r="Q30" i="2"/>
  <c r="G30" i="2"/>
  <c r="AI29" i="2"/>
  <c r="AB29" i="2"/>
  <c r="V29" i="2"/>
  <c r="Q29" i="2"/>
  <c r="G29" i="2"/>
  <c r="AI28" i="2"/>
  <c r="AB28" i="2"/>
  <c r="V28" i="2"/>
  <c r="Q28" i="2"/>
  <c r="G28" i="2"/>
  <c r="AI27" i="2"/>
  <c r="AB27" i="2"/>
  <c r="V27" i="2"/>
  <c r="Q27" i="2"/>
  <c r="G27" i="2"/>
  <c r="AI26" i="2"/>
  <c r="AB26" i="2"/>
  <c r="V26" i="2"/>
  <c r="Q26" i="2"/>
  <c r="G26" i="2"/>
  <c r="AI25" i="2"/>
  <c r="AB25" i="2"/>
  <c r="V25" i="2"/>
  <c r="Q25" i="2"/>
  <c r="G25" i="2"/>
  <c r="AI24" i="2"/>
  <c r="AB24" i="2"/>
  <c r="V24" i="2"/>
  <c r="Q24" i="2"/>
  <c r="G24" i="2"/>
  <c r="AI23" i="2"/>
  <c r="AB23" i="2"/>
  <c r="V23" i="2"/>
  <c r="Q23" i="2"/>
  <c r="G23" i="2"/>
  <c r="AI22" i="2"/>
  <c r="AB22" i="2"/>
  <c r="V22" i="2"/>
  <c r="Q22" i="2"/>
  <c r="G22" i="2"/>
  <c r="AI21" i="2"/>
  <c r="AB21" i="2"/>
  <c r="V21" i="2"/>
  <c r="Q21" i="2"/>
  <c r="G21" i="2"/>
  <c r="AI20" i="2"/>
  <c r="AB20" i="2"/>
  <c r="V20" i="2"/>
  <c r="Q20" i="2"/>
  <c r="G20" i="2"/>
  <c r="AI19" i="2"/>
  <c r="AB19" i="2"/>
  <c r="V19" i="2"/>
  <c r="Q19" i="2"/>
  <c r="G19" i="2"/>
  <c r="AI18" i="2"/>
  <c r="AB18" i="2"/>
  <c r="V18" i="2"/>
  <c r="Q18" i="2"/>
  <c r="G18" i="2"/>
  <c r="AI17" i="2"/>
  <c r="AB17" i="2"/>
  <c r="V17" i="2"/>
  <c r="Q17" i="2"/>
  <c r="G17" i="2"/>
  <c r="AI16" i="2"/>
  <c r="AB16" i="2"/>
  <c r="V16" i="2"/>
  <c r="Q16" i="2"/>
  <c r="G16" i="2"/>
  <c r="AI15" i="2"/>
  <c r="AB15" i="2"/>
  <c r="V15" i="2"/>
  <c r="Q15" i="2"/>
  <c r="G15" i="2"/>
  <c r="AI14" i="2"/>
  <c r="AB14" i="2"/>
  <c r="V14" i="2"/>
  <c r="Q14" i="2"/>
  <c r="G14" i="2"/>
  <c r="AI13" i="2"/>
  <c r="AB13" i="2"/>
  <c r="V13" i="2"/>
  <c r="Q13" i="2"/>
  <c r="G13" i="2"/>
  <c r="AI12" i="2"/>
  <c r="AB12" i="2"/>
  <c r="V12" i="2"/>
  <c r="Q12" i="2"/>
  <c r="G12" i="2"/>
  <c r="AI11" i="2"/>
  <c r="AB11" i="2"/>
  <c r="V11" i="2"/>
  <c r="Q11" i="2"/>
  <c r="G11" i="2"/>
  <c r="AI10" i="2"/>
  <c r="AB10" i="2"/>
  <c r="V10" i="2"/>
  <c r="Q10" i="2"/>
  <c r="G10" i="2"/>
  <c r="AI9" i="2"/>
  <c r="AB9" i="2"/>
  <c r="V9" i="2"/>
  <c r="Q9" i="2"/>
  <c r="G9" i="2"/>
  <c r="AI8" i="2"/>
  <c r="AB8" i="2"/>
  <c r="V8" i="2"/>
  <c r="Q8" i="2"/>
  <c r="G8" i="2"/>
  <c r="AI7" i="2"/>
  <c r="AB7" i="2"/>
  <c r="V7" i="2"/>
  <c r="Q7" i="2"/>
  <c r="G7" i="2"/>
  <c r="AI6" i="2"/>
  <c r="AB6" i="2"/>
  <c r="V6" i="2"/>
  <c r="Q6" i="2"/>
  <c r="G6" i="2"/>
  <c r="AI5" i="2"/>
  <c r="AB5" i="2"/>
  <c r="V5" i="2"/>
  <c r="Q5" i="2"/>
  <c r="G5" i="2"/>
  <c r="AI4" i="2"/>
  <c r="AB4" i="2"/>
  <c r="V4" i="2"/>
  <c r="Q4" i="2"/>
  <c r="G4" i="2"/>
  <c r="AI3" i="2"/>
  <c r="AB3" i="2"/>
  <c r="V3" i="2"/>
  <c r="Q3" i="2"/>
  <c r="G3" i="2"/>
</calcChain>
</file>

<file path=xl/sharedStrings.xml><?xml version="1.0" encoding="utf-8"?>
<sst xmlns="http://schemas.openxmlformats.org/spreadsheetml/2006/main" count="46" uniqueCount="43">
  <si>
    <t>Fasilitas  Ekonomi</t>
  </si>
  <si>
    <t>Fasilitas Pendidikan</t>
  </si>
  <si>
    <t>jarak sma/smk</t>
  </si>
  <si>
    <t>*hanya salah satu</t>
  </si>
  <si>
    <t>Faskes desa</t>
  </si>
  <si>
    <t>Bencana Alam</t>
  </si>
  <si>
    <t>Total</t>
  </si>
  <si>
    <t>r701dk2</t>
  </si>
  <si>
    <t>r701ek2</t>
  </si>
  <si>
    <t>r701fk2</t>
  </si>
  <si>
    <t>r701gk2</t>
  </si>
  <si>
    <t>r701hk2</t>
  </si>
  <si>
    <t>r701ik2</t>
  </si>
  <si>
    <t>Nilai yang diambil</t>
  </si>
  <si>
    <t>r601ak2</t>
  </si>
  <si>
    <t>r601bk2</t>
  </si>
  <si>
    <t>r601dk2</t>
  </si>
  <si>
    <t>r601ik2</t>
  </si>
  <si>
    <t>r1209ak2</t>
  </si>
  <si>
    <t>r1209bk2</t>
  </si>
  <si>
    <t>r1209ck2</t>
  </si>
  <si>
    <t>r701hk4</t>
  </si>
  <si>
    <t>r701jk4</t>
  </si>
  <si>
    <t>r701jk2</t>
  </si>
  <si>
    <t>r704jk2</t>
  </si>
  <si>
    <t>r704ik2</t>
  </si>
  <si>
    <t>r704lk2</t>
  </si>
  <si>
    <t>nama_kecamatan</t>
  </si>
  <si>
    <t>nama_desa</t>
  </si>
  <si>
    <t xml:space="preserve">listrik_pln </t>
  </si>
  <si>
    <t>fasilitas_ekonomi</t>
  </si>
  <si>
    <t>fasilitas_pendidikan</t>
  </si>
  <si>
    <t>akses_sma/smk</t>
  </si>
  <si>
    <t xml:space="preserve">faskes_desa </t>
  </si>
  <si>
    <t xml:space="preserve">akses_puskesmas </t>
  </si>
  <si>
    <t xml:space="preserve">kualitas_sinyal </t>
  </si>
  <si>
    <t>keamanan_bencana</t>
  </si>
  <si>
    <t>listrik pln</t>
  </si>
  <si>
    <t>r501a1</t>
  </si>
  <si>
    <t>akses_puskes</t>
  </si>
  <si>
    <t>kualitas_sinyal</t>
  </si>
  <si>
    <t>r1005d</t>
  </si>
  <si>
    <t>r704dk3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</si>
</sst>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50502-14EF-4CD8-9530-9468DACF66FA}">
  <dimension ref="A1:J65"/>
  <sheetViews>
    <sheetView tabSelected="1" zoomScale="70" zoomScaleNormal="70" workbookViewId="0">
      <selection activeCell="M10" sqref="M10"/>
    </sheetView>
  </sheetViews>
  <sheetFormatPr defaultRowHeight="14.5" x14ac:dyDescent="0.35"/>
  <cols>
    <col min="1" max="10" width="16.81640625" customWidth="1"/>
  </cols>
  <sheetData>
    <row r="1" spans="1:10" x14ac:dyDescent="0.3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</row>
    <row r="65" spans="3:3" x14ac:dyDescent="0.35">
      <c r="C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71FF-B23F-401F-8A66-D24C19E1E782}">
  <dimension ref="B1:AO73"/>
  <sheetViews>
    <sheetView zoomScale="70" zoomScaleNormal="70" workbookViewId="0">
      <selection activeCell="AI3" sqref="AI3:AI73"/>
    </sheetView>
  </sheetViews>
  <sheetFormatPr defaultRowHeight="14.5" x14ac:dyDescent="0.35"/>
  <cols>
    <col min="8" max="8" width="8.7265625" style="1"/>
    <col min="18" max="18" width="8.7265625" style="1"/>
    <col min="22" max="22" width="17.7265625" customWidth="1"/>
    <col min="23" max="23" width="8.7265625" style="1"/>
    <col min="29" max="29" width="8.7265625" style="1"/>
  </cols>
  <sheetData>
    <row r="1" spans="2:41" x14ac:dyDescent="0.35">
      <c r="B1" s="5" t="s">
        <v>0</v>
      </c>
      <c r="C1" s="5"/>
      <c r="D1" s="5"/>
      <c r="I1" s="5" t="s">
        <v>1</v>
      </c>
      <c r="J1" s="5"/>
      <c r="K1" s="5"/>
      <c r="L1" s="5"/>
      <c r="M1" s="5"/>
      <c r="N1" s="5"/>
      <c r="O1" s="5"/>
      <c r="S1" s="5" t="s">
        <v>2</v>
      </c>
      <c r="T1" s="5"/>
      <c r="V1" t="s">
        <v>3</v>
      </c>
      <c r="X1" s="5" t="s">
        <v>4</v>
      </c>
      <c r="Y1" s="5"/>
      <c r="Z1" s="5"/>
      <c r="AD1" s="5" t="s">
        <v>5</v>
      </c>
      <c r="AE1" s="5"/>
      <c r="AF1" s="5"/>
      <c r="AG1" s="5"/>
      <c r="AK1" t="s">
        <v>37</v>
      </c>
      <c r="AM1" t="s">
        <v>39</v>
      </c>
      <c r="AO1" t="s">
        <v>40</v>
      </c>
    </row>
    <row r="2" spans="2:41" x14ac:dyDescent="0.35">
      <c r="B2" s="2" t="s">
        <v>18</v>
      </c>
      <c r="C2" s="2" t="s">
        <v>19</v>
      </c>
      <c r="D2" s="2" t="s">
        <v>20</v>
      </c>
      <c r="G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23</v>
      </c>
      <c r="Q2" s="2" t="s">
        <v>6</v>
      </c>
      <c r="S2" s="2" t="s">
        <v>21</v>
      </c>
      <c r="T2" s="2" t="s">
        <v>22</v>
      </c>
      <c r="V2" s="2" t="s">
        <v>13</v>
      </c>
      <c r="X2" s="2" t="s">
        <v>24</v>
      </c>
      <c r="Y2" s="2" t="s">
        <v>25</v>
      </c>
      <c r="Z2" s="2" t="s">
        <v>26</v>
      </c>
      <c r="AB2" s="2" t="s">
        <v>6</v>
      </c>
      <c r="AD2" s="2" t="s">
        <v>14</v>
      </c>
      <c r="AE2" s="2" t="s">
        <v>15</v>
      </c>
      <c r="AF2" s="2" t="s">
        <v>16</v>
      </c>
      <c r="AG2" s="2" t="s">
        <v>17</v>
      </c>
      <c r="AI2" s="2" t="s">
        <v>6</v>
      </c>
      <c r="AK2" s="2" t="s">
        <v>38</v>
      </c>
      <c r="AM2" s="3" t="s">
        <v>42</v>
      </c>
      <c r="AO2" s="3" t="s">
        <v>41</v>
      </c>
    </row>
    <row r="3" spans="2:41" x14ac:dyDescent="0.35">
      <c r="B3">
        <v>0</v>
      </c>
      <c r="C3">
        <v>0</v>
      </c>
      <c r="D3">
        <v>1</v>
      </c>
      <c r="G3">
        <f>SUM(B3,C3,D3)</f>
        <v>1</v>
      </c>
      <c r="I3">
        <v>2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Q3">
        <f>SUM(I3,J3,K3,L3,M3,N3,O3)</f>
        <v>3</v>
      </c>
      <c r="S3">
        <v>12</v>
      </c>
      <c r="T3">
        <v>27</v>
      </c>
      <c r="V3">
        <f>IF(S3="",T3,IF(T3="",S3,MIN(S3,T3)))</f>
        <v>12</v>
      </c>
      <c r="X3">
        <v>2</v>
      </c>
      <c r="Y3">
        <v>1</v>
      </c>
      <c r="Z3">
        <v>0</v>
      </c>
      <c r="AB3">
        <f t="shared" ref="AB3:AB66" si="0">SUM(X3,Y3,Z3)</f>
        <v>3</v>
      </c>
      <c r="AD3">
        <v>2</v>
      </c>
      <c r="AE3">
        <v>2</v>
      </c>
      <c r="AF3">
        <v>2</v>
      </c>
      <c r="AG3">
        <v>2</v>
      </c>
      <c r="AI3">
        <f>SUM(AD3,AE3,AF3,AG3)</f>
        <v>8</v>
      </c>
      <c r="AK3">
        <v>755</v>
      </c>
      <c r="AM3">
        <v>17</v>
      </c>
      <c r="AO3">
        <v>1</v>
      </c>
    </row>
    <row r="4" spans="2:41" x14ac:dyDescent="0.35">
      <c r="B4">
        <v>0</v>
      </c>
      <c r="C4">
        <v>0</v>
      </c>
      <c r="D4">
        <v>2</v>
      </c>
      <c r="G4">
        <f t="shared" ref="G4:G67" si="1">SUM(B4,C4,D4)</f>
        <v>2</v>
      </c>
      <c r="I4">
        <v>2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Q4">
        <f>SUM(I4,J4,K4,L4,M4,N4,O4)</f>
        <v>4</v>
      </c>
      <c r="T4">
        <v>17</v>
      </c>
      <c r="V4">
        <f t="shared" ref="V4:V67" si="2">IF(S4="",T4,IF(T4="",S4,MIN(S4,T4)))</f>
        <v>17</v>
      </c>
      <c r="X4">
        <v>1</v>
      </c>
      <c r="Y4">
        <v>0</v>
      </c>
      <c r="Z4">
        <v>0</v>
      </c>
      <c r="AB4">
        <f t="shared" si="0"/>
        <v>1</v>
      </c>
      <c r="AD4">
        <v>2</v>
      </c>
      <c r="AE4">
        <v>2</v>
      </c>
      <c r="AF4">
        <v>2</v>
      </c>
      <c r="AG4">
        <v>2</v>
      </c>
      <c r="AI4">
        <f t="shared" ref="AI4:AI67" si="3">SUM(AD4,AE4,AF4,AG4)</f>
        <v>8</v>
      </c>
      <c r="AK4">
        <v>783</v>
      </c>
      <c r="AM4">
        <v>7.3</v>
      </c>
      <c r="AO4">
        <v>1</v>
      </c>
    </row>
    <row r="5" spans="2:41" x14ac:dyDescent="0.35">
      <c r="B5">
        <v>0</v>
      </c>
      <c r="C5">
        <v>0</v>
      </c>
      <c r="D5">
        <v>1</v>
      </c>
      <c r="G5">
        <f t="shared" si="1"/>
        <v>1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>
        <f t="shared" ref="Q5:Q28" si="4">SUM(I5,J5,K5,L5,M5,N5,O5)</f>
        <v>2</v>
      </c>
      <c r="S5">
        <v>4.4000000000000004</v>
      </c>
      <c r="T5">
        <v>11</v>
      </c>
      <c r="V5">
        <f t="shared" si="2"/>
        <v>4.4000000000000004</v>
      </c>
      <c r="X5">
        <v>1</v>
      </c>
      <c r="Y5">
        <v>1</v>
      </c>
      <c r="Z5">
        <v>0</v>
      </c>
      <c r="AB5">
        <f t="shared" si="0"/>
        <v>2</v>
      </c>
      <c r="AD5">
        <v>2</v>
      </c>
      <c r="AE5">
        <v>1</v>
      </c>
      <c r="AF5">
        <v>2</v>
      </c>
      <c r="AG5">
        <v>2</v>
      </c>
      <c r="AI5">
        <f t="shared" si="3"/>
        <v>7</v>
      </c>
      <c r="AK5">
        <v>1078</v>
      </c>
      <c r="AM5">
        <v>0</v>
      </c>
      <c r="AO5">
        <v>1</v>
      </c>
    </row>
    <row r="6" spans="2:41" x14ac:dyDescent="0.35">
      <c r="B6">
        <v>1</v>
      </c>
      <c r="C6">
        <v>0</v>
      </c>
      <c r="D6">
        <v>0</v>
      </c>
      <c r="G6">
        <f t="shared" si="1"/>
        <v>1</v>
      </c>
      <c r="I6">
        <v>4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Q6">
        <f t="shared" si="4"/>
        <v>5</v>
      </c>
      <c r="S6">
        <v>5</v>
      </c>
      <c r="V6">
        <f t="shared" si="2"/>
        <v>5</v>
      </c>
      <c r="X6">
        <v>1</v>
      </c>
      <c r="Y6">
        <v>3</v>
      </c>
      <c r="Z6">
        <v>0</v>
      </c>
      <c r="AB6">
        <f t="shared" si="0"/>
        <v>4</v>
      </c>
      <c r="AD6">
        <v>1</v>
      </c>
      <c r="AE6">
        <v>1</v>
      </c>
      <c r="AF6">
        <v>2</v>
      </c>
      <c r="AG6">
        <v>2</v>
      </c>
      <c r="AI6">
        <f t="shared" si="3"/>
        <v>6</v>
      </c>
      <c r="AK6">
        <v>2466</v>
      </c>
      <c r="AM6">
        <v>13</v>
      </c>
      <c r="AO6">
        <v>1</v>
      </c>
    </row>
    <row r="7" spans="2:41" x14ac:dyDescent="0.35">
      <c r="B7">
        <v>1</v>
      </c>
      <c r="C7">
        <v>1</v>
      </c>
      <c r="D7">
        <v>1</v>
      </c>
      <c r="G7">
        <f t="shared" si="1"/>
        <v>3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f t="shared" si="4"/>
        <v>1</v>
      </c>
      <c r="S7">
        <v>3</v>
      </c>
      <c r="T7">
        <v>6</v>
      </c>
      <c r="V7">
        <f t="shared" si="2"/>
        <v>3</v>
      </c>
      <c r="X7">
        <v>1</v>
      </c>
      <c r="Y7">
        <v>2</v>
      </c>
      <c r="Z7">
        <v>3</v>
      </c>
      <c r="AB7">
        <f t="shared" si="0"/>
        <v>6</v>
      </c>
      <c r="AD7">
        <v>2</v>
      </c>
      <c r="AE7">
        <v>2</v>
      </c>
      <c r="AF7">
        <v>2</v>
      </c>
      <c r="AG7">
        <v>2</v>
      </c>
      <c r="AI7">
        <f t="shared" si="3"/>
        <v>8</v>
      </c>
      <c r="AK7">
        <v>1443</v>
      </c>
      <c r="AM7">
        <v>3</v>
      </c>
      <c r="AO7">
        <v>1</v>
      </c>
    </row>
    <row r="8" spans="2:41" x14ac:dyDescent="0.35">
      <c r="B8">
        <v>0</v>
      </c>
      <c r="C8">
        <v>0</v>
      </c>
      <c r="D8">
        <v>0</v>
      </c>
      <c r="G8">
        <f t="shared" si="1"/>
        <v>0</v>
      </c>
      <c r="I8">
        <v>3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Q8">
        <f t="shared" si="4"/>
        <v>5</v>
      </c>
      <c r="T8">
        <v>3</v>
      </c>
      <c r="V8">
        <f t="shared" si="2"/>
        <v>3</v>
      </c>
      <c r="X8">
        <v>1</v>
      </c>
      <c r="Y8">
        <v>4</v>
      </c>
      <c r="Z8">
        <v>2</v>
      </c>
      <c r="AB8">
        <f t="shared" si="0"/>
        <v>7</v>
      </c>
      <c r="AD8">
        <v>2</v>
      </c>
      <c r="AE8">
        <v>2</v>
      </c>
      <c r="AF8">
        <v>2</v>
      </c>
      <c r="AG8">
        <v>2</v>
      </c>
      <c r="AI8">
        <f t="shared" si="3"/>
        <v>8</v>
      </c>
      <c r="AK8">
        <v>2326</v>
      </c>
      <c r="AM8">
        <v>2</v>
      </c>
      <c r="AO8">
        <v>1</v>
      </c>
    </row>
    <row r="9" spans="2:41" x14ac:dyDescent="0.35">
      <c r="B9">
        <v>6</v>
      </c>
      <c r="C9">
        <v>1</v>
      </c>
      <c r="D9">
        <v>1</v>
      </c>
      <c r="G9">
        <f t="shared" si="1"/>
        <v>8</v>
      </c>
      <c r="I9">
        <v>5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Q9">
        <f t="shared" si="4"/>
        <v>6</v>
      </c>
      <c r="T9">
        <v>5</v>
      </c>
      <c r="V9">
        <f t="shared" si="2"/>
        <v>5</v>
      </c>
      <c r="X9">
        <v>1</v>
      </c>
      <c r="Y9">
        <v>0</v>
      </c>
      <c r="Z9">
        <v>3</v>
      </c>
      <c r="AB9">
        <f t="shared" si="0"/>
        <v>4</v>
      </c>
      <c r="AD9">
        <v>1</v>
      </c>
      <c r="AE9">
        <v>2</v>
      </c>
      <c r="AF9">
        <v>2</v>
      </c>
      <c r="AG9">
        <v>2</v>
      </c>
      <c r="AI9">
        <f t="shared" si="3"/>
        <v>7</v>
      </c>
      <c r="AK9">
        <v>2859</v>
      </c>
      <c r="AM9">
        <v>0</v>
      </c>
      <c r="AO9">
        <v>1</v>
      </c>
    </row>
    <row r="10" spans="2:41" x14ac:dyDescent="0.35">
      <c r="B10">
        <v>0</v>
      </c>
      <c r="C10">
        <v>1</v>
      </c>
      <c r="D10">
        <v>1</v>
      </c>
      <c r="G10">
        <f t="shared" si="1"/>
        <v>2</v>
      </c>
      <c r="I10">
        <v>2</v>
      </c>
      <c r="J10">
        <v>1</v>
      </c>
      <c r="K10">
        <v>1</v>
      </c>
      <c r="L10">
        <v>1</v>
      </c>
      <c r="M10">
        <v>0</v>
      </c>
      <c r="N10">
        <v>0</v>
      </c>
      <c r="O10">
        <v>1</v>
      </c>
      <c r="Q10">
        <f t="shared" si="4"/>
        <v>6</v>
      </c>
      <c r="S10">
        <v>2</v>
      </c>
      <c r="V10">
        <f t="shared" si="2"/>
        <v>2</v>
      </c>
      <c r="X10">
        <v>1</v>
      </c>
      <c r="Y10">
        <v>7</v>
      </c>
      <c r="Z10">
        <v>2</v>
      </c>
      <c r="AB10">
        <f t="shared" si="0"/>
        <v>10</v>
      </c>
      <c r="AD10">
        <v>2</v>
      </c>
      <c r="AE10">
        <v>1</v>
      </c>
      <c r="AF10">
        <v>2</v>
      </c>
      <c r="AG10">
        <v>2</v>
      </c>
      <c r="AI10">
        <f t="shared" si="3"/>
        <v>7</v>
      </c>
      <c r="AK10">
        <v>2388</v>
      </c>
      <c r="AM10">
        <v>5.2</v>
      </c>
      <c r="AO10">
        <v>1</v>
      </c>
    </row>
    <row r="11" spans="2:41" x14ac:dyDescent="0.35">
      <c r="B11">
        <v>0</v>
      </c>
      <c r="C11">
        <v>0</v>
      </c>
      <c r="D11">
        <v>0</v>
      </c>
      <c r="G11">
        <f t="shared" si="1"/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Q11">
        <f t="shared" si="4"/>
        <v>3</v>
      </c>
      <c r="S11">
        <v>5</v>
      </c>
      <c r="V11">
        <f t="shared" si="2"/>
        <v>5</v>
      </c>
      <c r="X11">
        <v>1</v>
      </c>
      <c r="Y11">
        <v>3</v>
      </c>
      <c r="Z11">
        <v>0</v>
      </c>
      <c r="AB11">
        <f t="shared" si="0"/>
        <v>4</v>
      </c>
      <c r="AD11">
        <v>2</v>
      </c>
      <c r="AE11">
        <v>2</v>
      </c>
      <c r="AF11">
        <v>2</v>
      </c>
      <c r="AG11">
        <v>2</v>
      </c>
      <c r="AI11">
        <f t="shared" si="3"/>
        <v>8</v>
      </c>
      <c r="AK11">
        <v>664</v>
      </c>
      <c r="AM11">
        <v>15</v>
      </c>
      <c r="AO11">
        <v>1</v>
      </c>
    </row>
    <row r="12" spans="2:41" x14ac:dyDescent="0.35">
      <c r="B12">
        <v>1</v>
      </c>
      <c r="C12">
        <v>0</v>
      </c>
      <c r="D12">
        <v>0</v>
      </c>
      <c r="G12">
        <f t="shared" si="1"/>
        <v>1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Q12">
        <f t="shared" si="4"/>
        <v>3</v>
      </c>
      <c r="T12">
        <v>1</v>
      </c>
      <c r="V12">
        <f t="shared" si="2"/>
        <v>1</v>
      </c>
      <c r="X12">
        <v>1</v>
      </c>
      <c r="Y12">
        <v>3</v>
      </c>
      <c r="Z12">
        <v>1</v>
      </c>
      <c r="AB12">
        <f t="shared" si="0"/>
        <v>5</v>
      </c>
      <c r="AD12">
        <v>2</v>
      </c>
      <c r="AE12">
        <v>1</v>
      </c>
      <c r="AF12">
        <v>2</v>
      </c>
      <c r="AG12">
        <v>2</v>
      </c>
      <c r="AI12">
        <f t="shared" si="3"/>
        <v>7</v>
      </c>
      <c r="AK12">
        <v>1156</v>
      </c>
      <c r="AM12">
        <v>10</v>
      </c>
      <c r="AO12">
        <v>1</v>
      </c>
    </row>
    <row r="13" spans="2:41" x14ac:dyDescent="0.35">
      <c r="B13">
        <v>0</v>
      </c>
      <c r="C13">
        <v>0</v>
      </c>
      <c r="D13">
        <v>1</v>
      </c>
      <c r="G13">
        <f t="shared" si="1"/>
        <v>1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f t="shared" si="4"/>
        <v>2</v>
      </c>
      <c r="S13">
        <v>3</v>
      </c>
      <c r="T13">
        <v>10</v>
      </c>
      <c r="V13">
        <f t="shared" si="2"/>
        <v>3</v>
      </c>
      <c r="X13">
        <v>1</v>
      </c>
      <c r="Y13">
        <v>1</v>
      </c>
      <c r="Z13">
        <v>0</v>
      </c>
      <c r="AB13">
        <f t="shared" si="0"/>
        <v>2</v>
      </c>
      <c r="AD13">
        <v>2</v>
      </c>
      <c r="AE13">
        <v>1</v>
      </c>
      <c r="AF13">
        <v>2</v>
      </c>
      <c r="AG13">
        <v>2</v>
      </c>
      <c r="AI13">
        <f t="shared" si="3"/>
        <v>7</v>
      </c>
      <c r="AK13">
        <v>788</v>
      </c>
      <c r="AM13">
        <v>4</v>
      </c>
      <c r="AO13">
        <v>1</v>
      </c>
    </row>
    <row r="14" spans="2:41" x14ac:dyDescent="0.35">
      <c r="B14">
        <v>0</v>
      </c>
      <c r="C14">
        <v>0</v>
      </c>
      <c r="D14">
        <v>1</v>
      </c>
      <c r="G14">
        <f t="shared" si="1"/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f t="shared" si="4"/>
        <v>1</v>
      </c>
      <c r="S14">
        <v>4</v>
      </c>
      <c r="T14">
        <v>10</v>
      </c>
      <c r="V14">
        <f t="shared" si="2"/>
        <v>4</v>
      </c>
      <c r="X14">
        <v>1</v>
      </c>
      <c r="Y14">
        <v>0</v>
      </c>
      <c r="Z14">
        <v>0</v>
      </c>
      <c r="AB14">
        <f t="shared" si="0"/>
        <v>1</v>
      </c>
      <c r="AD14">
        <v>2</v>
      </c>
      <c r="AE14">
        <v>2</v>
      </c>
      <c r="AF14">
        <v>2</v>
      </c>
      <c r="AG14">
        <v>2</v>
      </c>
      <c r="AI14">
        <f t="shared" si="3"/>
        <v>8</v>
      </c>
      <c r="AK14">
        <v>587</v>
      </c>
      <c r="AM14">
        <v>5</v>
      </c>
      <c r="AO14">
        <v>1</v>
      </c>
    </row>
    <row r="15" spans="2:41" x14ac:dyDescent="0.35">
      <c r="B15">
        <v>0</v>
      </c>
      <c r="C15">
        <v>0</v>
      </c>
      <c r="D15">
        <v>1</v>
      </c>
      <c r="G15">
        <f t="shared" si="1"/>
        <v>1</v>
      </c>
      <c r="I15">
        <v>2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Q15">
        <f t="shared" si="4"/>
        <v>4</v>
      </c>
      <c r="T15">
        <v>8.9</v>
      </c>
      <c r="V15">
        <f t="shared" si="2"/>
        <v>8.9</v>
      </c>
      <c r="X15">
        <v>1</v>
      </c>
      <c r="Y15">
        <v>0</v>
      </c>
      <c r="Z15">
        <v>0</v>
      </c>
      <c r="AB15">
        <f t="shared" si="0"/>
        <v>1</v>
      </c>
      <c r="AD15">
        <v>2</v>
      </c>
      <c r="AE15">
        <v>1</v>
      </c>
      <c r="AF15">
        <v>2</v>
      </c>
      <c r="AG15">
        <v>2</v>
      </c>
      <c r="AI15">
        <f t="shared" si="3"/>
        <v>7</v>
      </c>
      <c r="AK15">
        <v>962</v>
      </c>
      <c r="AM15">
        <v>0</v>
      </c>
      <c r="AO15">
        <v>1</v>
      </c>
    </row>
    <row r="16" spans="2:41" x14ac:dyDescent="0.35">
      <c r="B16">
        <v>0</v>
      </c>
      <c r="C16">
        <v>0</v>
      </c>
      <c r="D16">
        <v>1</v>
      </c>
      <c r="G16">
        <f t="shared" si="1"/>
        <v>1</v>
      </c>
      <c r="I16">
        <v>2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Q16">
        <f t="shared" si="4"/>
        <v>3</v>
      </c>
      <c r="S16">
        <v>3</v>
      </c>
      <c r="T16">
        <v>10</v>
      </c>
      <c r="V16">
        <f t="shared" si="2"/>
        <v>3</v>
      </c>
      <c r="X16">
        <v>1</v>
      </c>
      <c r="Y16">
        <v>0</v>
      </c>
      <c r="Z16">
        <v>0</v>
      </c>
      <c r="AB16">
        <f t="shared" si="0"/>
        <v>1</v>
      </c>
      <c r="AD16">
        <v>2</v>
      </c>
      <c r="AE16">
        <v>2</v>
      </c>
      <c r="AF16">
        <v>2</v>
      </c>
      <c r="AG16">
        <v>2</v>
      </c>
      <c r="AI16">
        <f t="shared" si="3"/>
        <v>8</v>
      </c>
      <c r="AK16">
        <v>609</v>
      </c>
      <c r="AM16">
        <v>3</v>
      </c>
      <c r="AO16">
        <v>2</v>
      </c>
    </row>
    <row r="17" spans="2:41" x14ac:dyDescent="0.35">
      <c r="B17">
        <v>0</v>
      </c>
      <c r="C17">
        <v>0</v>
      </c>
      <c r="D17">
        <v>1</v>
      </c>
      <c r="G17">
        <f t="shared" si="1"/>
        <v>1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f t="shared" si="4"/>
        <v>2</v>
      </c>
      <c r="S17">
        <v>4</v>
      </c>
      <c r="T17">
        <v>8</v>
      </c>
      <c r="V17">
        <f t="shared" si="2"/>
        <v>4</v>
      </c>
      <c r="X17">
        <v>0</v>
      </c>
      <c r="Y17">
        <v>2</v>
      </c>
      <c r="Z17">
        <v>0</v>
      </c>
      <c r="AB17">
        <f t="shared" si="0"/>
        <v>2</v>
      </c>
      <c r="AD17">
        <v>2</v>
      </c>
      <c r="AE17">
        <v>2</v>
      </c>
      <c r="AF17">
        <v>2</v>
      </c>
      <c r="AG17">
        <v>2</v>
      </c>
      <c r="AI17">
        <f t="shared" si="3"/>
        <v>8</v>
      </c>
      <c r="AK17">
        <v>971</v>
      </c>
      <c r="AM17">
        <v>8</v>
      </c>
      <c r="AO17">
        <v>1</v>
      </c>
    </row>
    <row r="18" spans="2:41" x14ac:dyDescent="0.35">
      <c r="B18">
        <v>0</v>
      </c>
      <c r="C18">
        <v>0</v>
      </c>
      <c r="D18">
        <v>1</v>
      </c>
      <c r="G18">
        <f t="shared" si="1"/>
        <v>1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f t="shared" si="4"/>
        <v>2</v>
      </c>
      <c r="S18">
        <v>15</v>
      </c>
      <c r="T18">
        <v>16</v>
      </c>
      <c r="V18">
        <f t="shared" si="2"/>
        <v>15</v>
      </c>
      <c r="X18">
        <v>2</v>
      </c>
      <c r="Y18">
        <v>0</v>
      </c>
      <c r="Z18">
        <v>0</v>
      </c>
      <c r="AB18">
        <f t="shared" si="0"/>
        <v>2</v>
      </c>
      <c r="AD18">
        <v>2</v>
      </c>
      <c r="AE18">
        <v>1</v>
      </c>
      <c r="AF18">
        <v>2</v>
      </c>
      <c r="AG18">
        <v>2</v>
      </c>
      <c r="AI18">
        <f t="shared" si="3"/>
        <v>7</v>
      </c>
      <c r="AK18">
        <v>473</v>
      </c>
      <c r="AM18">
        <v>17</v>
      </c>
      <c r="AO18">
        <v>1</v>
      </c>
    </row>
    <row r="19" spans="2:41" x14ac:dyDescent="0.35">
      <c r="B19">
        <v>0</v>
      </c>
      <c r="C19">
        <v>0</v>
      </c>
      <c r="D19">
        <v>3</v>
      </c>
      <c r="G19">
        <f t="shared" si="1"/>
        <v>3</v>
      </c>
      <c r="I19">
        <v>3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Q19">
        <f t="shared" si="4"/>
        <v>4</v>
      </c>
      <c r="S19">
        <v>13</v>
      </c>
      <c r="T19">
        <v>14</v>
      </c>
      <c r="V19">
        <f t="shared" si="2"/>
        <v>13</v>
      </c>
      <c r="X19">
        <v>1</v>
      </c>
      <c r="Y19">
        <v>1</v>
      </c>
      <c r="Z19">
        <v>0</v>
      </c>
      <c r="AB19">
        <f t="shared" si="0"/>
        <v>2</v>
      </c>
      <c r="AD19">
        <v>2</v>
      </c>
      <c r="AE19">
        <v>2</v>
      </c>
      <c r="AF19">
        <v>2</v>
      </c>
      <c r="AG19">
        <v>2</v>
      </c>
      <c r="AI19">
        <f t="shared" si="3"/>
        <v>8</v>
      </c>
      <c r="AK19">
        <v>483</v>
      </c>
      <c r="AM19">
        <v>15</v>
      </c>
      <c r="AO19">
        <v>1</v>
      </c>
    </row>
    <row r="20" spans="2:41" x14ac:dyDescent="0.35">
      <c r="B20">
        <v>0</v>
      </c>
      <c r="C20">
        <v>0</v>
      </c>
      <c r="D20">
        <v>0</v>
      </c>
      <c r="G20">
        <f t="shared" si="1"/>
        <v>0</v>
      </c>
      <c r="I20">
        <v>4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Q20">
        <f t="shared" si="4"/>
        <v>5</v>
      </c>
      <c r="V20">
        <f t="shared" si="2"/>
        <v>0</v>
      </c>
      <c r="X20">
        <v>1</v>
      </c>
      <c r="Y20">
        <v>2</v>
      </c>
      <c r="Z20">
        <v>0</v>
      </c>
      <c r="AB20">
        <f t="shared" si="0"/>
        <v>3</v>
      </c>
      <c r="AD20">
        <v>2</v>
      </c>
      <c r="AE20">
        <v>1</v>
      </c>
      <c r="AF20">
        <v>2</v>
      </c>
      <c r="AG20">
        <v>2</v>
      </c>
      <c r="AI20">
        <f t="shared" si="3"/>
        <v>7</v>
      </c>
      <c r="AK20">
        <v>2354</v>
      </c>
      <c r="AM20">
        <v>2.6</v>
      </c>
      <c r="AO20">
        <v>1</v>
      </c>
    </row>
    <row r="21" spans="2:41" x14ac:dyDescent="0.35">
      <c r="B21">
        <v>0</v>
      </c>
      <c r="C21">
        <v>0</v>
      </c>
      <c r="D21">
        <v>1</v>
      </c>
      <c r="G21">
        <f t="shared" si="1"/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Q21">
        <f t="shared" si="4"/>
        <v>3</v>
      </c>
      <c r="S21">
        <v>10</v>
      </c>
      <c r="T21">
        <v>17</v>
      </c>
      <c r="V21">
        <f t="shared" si="2"/>
        <v>10</v>
      </c>
      <c r="X21">
        <v>1</v>
      </c>
      <c r="Y21">
        <v>2</v>
      </c>
      <c r="Z21">
        <v>0</v>
      </c>
      <c r="AB21">
        <f t="shared" si="0"/>
        <v>3</v>
      </c>
      <c r="AD21">
        <v>2</v>
      </c>
      <c r="AE21">
        <v>2</v>
      </c>
      <c r="AF21">
        <v>2</v>
      </c>
      <c r="AG21">
        <v>2</v>
      </c>
      <c r="AI21">
        <f t="shared" si="3"/>
        <v>8</v>
      </c>
      <c r="AK21">
        <v>524</v>
      </c>
      <c r="AM21">
        <v>18</v>
      </c>
      <c r="AO21">
        <v>4</v>
      </c>
    </row>
    <row r="22" spans="2:41" x14ac:dyDescent="0.35">
      <c r="B22">
        <v>0</v>
      </c>
      <c r="C22">
        <v>0</v>
      </c>
      <c r="D22">
        <v>1</v>
      </c>
      <c r="G22">
        <f t="shared" si="1"/>
        <v>1</v>
      </c>
      <c r="I22">
        <v>2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Q22">
        <f t="shared" si="4"/>
        <v>4</v>
      </c>
      <c r="T22">
        <v>16</v>
      </c>
      <c r="V22">
        <f>IF(S22="",T22,IF(T22="",S22,MIN(S22,T22)))</f>
        <v>16</v>
      </c>
      <c r="X22">
        <v>2</v>
      </c>
      <c r="Y22">
        <v>1</v>
      </c>
      <c r="Z22">
        <v>0</v>
      </c>
      <c r="AB22">
        <f t="shared" si="0"/>
        <v>3</v>
      </c>
      <c r="AD22">
        <v>2</v>
      </c>
      <c r="AE22">
        <v>2</v>
      </c>
      <c r="AF22">
        <v>2</v>
      </c>
      <c r="AG22">
        <v>2</v>
      </c>
      <c r="AI22">
        <f>SUM(AD22,AE22,AF22,AG22)</f>
        <v>8</v>
      </c>
      <c r="AK22">
        <v>1112</v>
      </c>
      <c r="AM22">
        <v>13</v>
      </c>
      <c r="AO22">
        <v>1</v>
      </c>
    </row>
    <row r="23" spans="2:41" x14ac:dyDescent="0.35">
      <c r="B23">
        <v>0</v>
      </c>
      <c r="C23">
        <v>0</v>
      </c>
      <c r="D23">
        <v>0</v>
      </c>
      <c r="G23">
        <f t="shared" si="1"/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f t="shared" si="4"/>
        <v>1</v>
      </c>
      <c r="S23">
        <v>6</v>
      </c>
      <c r="T23">
        <v>8</v>
      </c>
      <c r="V23">
        <f t="shared" si="2"/>
        <v>6</v>
      </c>
      <c r="X23">
        <v>1</v>
      </c>
      <c r="Y23">
        <v>0</v>
      </c>
      <c r="Z23">
        <v>0</v>
      </c>
      <c r="AB23">
        <f t="shared" si="0"/>
        <v>1</v>
      </c>
      <c r="AD23">
        <v>2</v>
      </c>
      <c r="AE23">
        <v>1</v>
      </c>
      <c r="AF23">
        <v>2</v>
      </c>
      <c r="AG23">
        <v>2</v>
      </c>
      <c r="AI23">
        <f t="shared" si="3"/>
        <v>7</v>
      </c>
      <c r="AK23">
        <v>185</v>
      </c>
      <c r="AM23">
        <v>3</v>
      </c>
      <c r="AO23">
        <v>1</v>
      </c>
    </row>
    <row r="24" spans="2:41" x14ac:dyDescent="0.35">
      <c r="B24">
        <v>0</v>
      </c>
      <c r="C24">
        <v>0</v>
      </c>
      <c r="D24">
        <v>0</v>
      </c>
      <c r="G24">
        <f t="shared" si="1"/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Q24">
        <f t="shared" si="4"/>
        <v>2</v>
      </c>
      <c r="T24">
        <v>5</v>
      </c>
      <c r="V24">
        <f t="shared" si="2"/>
        <v>5</v>
      </c>
      <c r="X24">
        <v>1</v>
      </c>
      <c r="Y24">
        <v>0</v>
      </c>
      <c r="Z24">
        <v>0</v>
      </c>
      <c r="AB24">
        <f t="shared" si="0"/>
        <v>1</v>
      </c>
      <c r="AD24">
        <v>2</v>
      </c>
      <c r="AE24">
        <v>1</v>
      </c>
      <c r="AF24">
        <v>2</v>
      </c>
      <c r="AG24">
        <v>2</v>
      </c>
      <c r="AI24">
        <f t="shared" si="3"/>
        <v>7</v>
      </c>
      <c r="AK24">
        <v>1076</v>
      </c>
      <c r="AM24">
        <v>2</v>
      </c>
      <c r="AO24">
        <v>1</v>
      </c>
    </row>
    <row r="25" spans="2:41" x14ac:dyDescent="0.35">
      <c r="B25">
        <v>0</v>
      </c>
      <c r="C25">
        <v>0</v>
      </c>
      <c r="D25">
        <v>0</v>
      </c>
      <c r="G25">
        <f>SUM(B25,C25,D25)</f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>
        <f t="shared" si="4"/>
        <v>1</v>
      </c>
      <c r="S25">
        <v>10</v>
      </c>
      <c r="T25">
        <v>15</v>
      </c>
      <c r="V25">
        <f t="shared" si="2"/>
        <v>10</v>
      </c>
      <c r="X25">
        <v>1</v>
      </c>
      <c r="Y25">
        <v>0</v>
      </c>
      <c r="Z25">
        <v>0</v>
      </c>
      <c r="AB25">
        <f t="shared" si="0"/>
        <v>1</v>
      </c>
      <c r="AD25">
        <v>2</v>
      </c>
      <c r="AE25">
        <v>2</v>
      </c>
      <c r="AF25">
        <v>2</v>
      </c>
      <c r="AG25">
        <v>2</v>
      </c>
      <c r="AI25">
        <f t="shared" si="3"/>
        <v>8</v>
      </c>
      <c r="AK25">
        <v>290</v>
      </c>
      <c r="AM25">
        <v>11</v>
      </c>
      <c r="AO25">
        <v>2</v>
      </c>
    </row>
    <row r="26" spans="2:41" x14ac:dyDescent="0.35">
      <c r="B26">
        <v>1</v>
      </c>
      <c r="C26">
        <v>0</v>
      </c>
      <c r="D26">
        <v>0</v>
      </c>
      <c r="G26">
        <f t="shared" si="1"/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f t="shared" si="4"/>
        <v>1</v>
      </c>
      <c r="S26">
        <v>5</v>
      </c>
      <c r="T26">
        <v>8</v>
      </c>
      <c r="V26">
        <f t="shared" si="2"/>
        <v>5</v>
      </c>
      <c r="X26">
        <v>1</v>
      </c>
      <c r="Y26">
        <v>0</v>
      </c>
      <c r="Z26">
        <v>0</v>
      </c>
      <c r="AB26">
        <f t="shared" si="0"/>
        <v>1</v>
      </c>
      <c r="AD26">
        <v>2</v>
      </c>
      <c r="AE26">
        <v>2</v>
      </c>
      <c r="AF26">
        <v>2</v>
      </c>
      <c r="AG26">
        <v>2</v>
      </c>
      <c r="AI26">
        <f t="shared" si="3"/>
        <v>8</v>
      </c>
      <c r="AK26">
        <v>250</v>
      </c>
      <c r="AM26">
        <v>3</v>
      </c>
      <c r="AO26">
        <v>2</v>
      </c>
    </row>
    <row r="27" spans="2:41" x14ac:dyDescent="0.35">
      <c r="B27">
        <v>2</v>
      </c>
      <c r="C27">
        <v>0</v>
      </c>
      <c r="D27">
        <v>0</v>
      </c>
      <c r="G27">
        <f t="shared" si="1"/>
        <v>2</v>
      </c>
      <c r="I27">
        <v>2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Q27">
        <f t="shared" si="4"/>
        <v>3</v>
      </c>
      <c r="T27">
        <v>3</v>
      </c>
      <c r="V27">
        <f t="shared" si="2"/>
        <v>3</v>
      </c>
      <c r="X27">
        <v>1</v>
      </c>
      <c r="Y27">
        <v>2</v>
      </c>
      <c r="Z27">
        <v>1</v>
      </c>
      <c r="AB27">
        <f t="shared" si="0"/>
        <v>4</v>
      </c>
      <c r="AD27">
        <v>2</v>
      </c>
      <c r="AE27">
        <v>1</v>
      </c>
      <c r="AF27">
        <v>2</v>
      </c>
      <c r="AG27">
        <v>2</v>
      </c>
      <c r="AI27">
        <f t="shared" si="3"/>
        <v>7</v>
      </c>
      <c r="AK27">
        <v>882</v>
      </c>
      <c r="AM27">
        <v>0</v>
      </c>
      <c r="AO27">
        <v>1</v>
      </c>
    </row>
    <row r="28" spans="2:41" x14ac:dyDescent="0.35">
      <c r="B28">
        <v>2</v>
      </c>
      <c r="C28">
        <v>1</v>
      </c>
      <c r="D28">
        <v>0</v>
      </c>
      <c r="G28">
        <f t="shared" si="1"/>
        <v>3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f t="shared" si="4"/>
        <v>1</v>
      </c>
      <c r="S28">
        <v>2</v>
      </c>
      <c r="T28">
        <v>6</v>
      </c>
      <c r="V28">
        <f t="shared" si="2"/>
        <v>2</v>
      </c>
      <c r="X28">
        <v>1</v>
      </c>
      <c r="Y28">
        <v>1</v>
      </c>
      <c r="Z28">
        <v>3</v>
      </c>
      <c r="AB28">
        <f t="shared" si="0"/>
        <v>5</v>
      </c>
      <c r="AD28">
        <v>2</v>
      </c>
      <c r="AE28">
        <v>1</v>
      </c>
      <c r="AF28">
        <v>2</v>
      </c>
      <c r="AG28">
        <v>2</v>
      </c>
      <c r="AI28">
        <f t="shared" si="3"/>
        <v>7</v>
      </c>
      <c r="AK28">
        <v>909</v>
      </c>
      <c r="AM28">
        <v>2</v>
      </c>
      <c r="AO28">
        <v>1</v>
      </c>
    </row>
    <row r="29" spans="2:41" x14ac:dyDescent="0.35">
      <c r="B29">
        <v>0</v>
      </c>
      <c r="C29">
        <v>0</v>
      </c>
      <c r="D29">
        <v>0</v>
      </c>
      <c r="G29">
        <f t="shared" si="1"/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f>SUM(I29,J29,K29,L29,M29,N29,O29)</f>
        <v>1</v>
      </c>
      <c r="S29">
        <v>3</v>
      </c>
      <c r="T29">
        <v>2</v>
      </c>
      <c r="V29">
        <f t="shared" si="2"/>
        <v>2</v>
      </c>
      <c r="X29">
        <v>1</v>
      </c>
      <c r="Y29">
        <v>0</v>
      </c>
      <c r="Z29">
        <v>0</v>
      </c>
      <c r="AB29">
        <f t="shared" si="0"/>
        <v>1</v>
      </c>
      <c r="AD29">
        <v>2</v>
      </c>
      <c r="AE29">
        <v>2</v>
      </c>
      <c r="AF29">
        <v>2</v>
      </c>
      <c r="AG29">
        <v>2</v>
      </c>
      <c r="AI29">
        <f t="shared" si="3"/>
        <v>8</v>
      </c>
      <c r="AK29">
        <v>218</v>
      </c>
      <c r="AM29">
        <v>14</v>
      </c>
      <c r="AO29">
        <v>1</v>
      </c>
    </row>
    <row r="30" spans="2:41" x14ac:dyDescent="0.35">
      <c r="B30">
        <v>0</v>
      </c>
      <c r="C30">
        <v>1</v>
      </c>
      <c r="D30">
        <v>1</v>
      </c>
      <c r="G30">
        <f t="shared" si="1"/>
        <v>2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f>SUM(I30,J30,K30,L30,M30,N30,O30)</f>
        <v>1</v>
      </c>
      <c r="S30">
        <v>3</v>
      </c>
      <c r="T30">
        <v>3</v>
      </c>
      <c r="V30">
        <f t="shared" si="2"/>
        <v>3</v>
      </c>
      <c r="X30">
        <v>1</v>
      </c>
      <c r="Y30">
        <v>2</v>
      </c>
      <c r="Z30">
        <v>0</v>
      </c>
      <c r="AB30">
        <f t="shared" si="0"/>
        <v>3</v>
      </c>
      <c r="AD30">
        <v>2</v>
      </c>
      <c r="AE30">
        <v>1</v>
      </c>
      <c r="AF30">
        <v>2</v>
      </c>
      <c r="AG30">
        <v>2</v>
      </c>
      <c r="AI30">
        <f t="shared" si="3"/>
        <v>7</v>
      </c>
      <c r="AK30">
        <v>540</v>
      </c>
      <c r="AM30">
        <v>6</v>
      </c>
      <c r="AO30">
        <v>1</v>
      </c>
    </row>
    <row r="31" spans="2:41" x14ac:dyDescent="0.35">
      <c r="B31">
        <v>0</v>
      </c>
      <c r="C31">
        <v>1</v>
      </c>
      <c r="D31">
        <v>0</v>
      </c>
      <c r="G31">
        <f t="shared" si="1"/>
        <v>1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Q31">
        <f t="shared" ref="Q31:Q47" si="5">SUM(I31,J31,K31,L31,M31,N31,O31)</f>
        <v>3</v>
      </c>
      <c r="S31">
        <v>3</v>
      </c>
      <c r="V31">
        <f t="shared" si="2"/>
        <v>3</v>
      </c>
      <c r="X31">
        <v>1</v>
      </c>
      <c r="Y31">
        <v>0</v>
      </c>
      <c r="Z31">
        <v>0</v>
      </c>
      <c r="AB31">
        <f t="shared" si="0"/>
        <v>1</v>
      </c>
      <c r="AD31">
        <v>2</v>
      </c>
      <c r="AE31">
        <v>2</v>
      </c>
      <c r="AF31">
        <v>2</v>
      </c>
      <c r="AG31">
        <v>2</v>
      </c>
      <c r="AI31">
        <f t="shared" si="3"/>
        <v>8</v>
      </c>
      <c r="AK31">
        <v>827</v>
      </c>
      <c r="AM31">
        <v>3</v>
      </c>
      <c r="AO31">
        <v>1</v>
      </c>
    </row>
    <row r="32" spans="2:41" x14ac:dyDescent="0.35">
      <c r="B32">
        <v>0</v>
      </c>
      <c r="C32">
        <v>0</v>
      </c>
      <c r="D32">
        <v>0</v>
      </c>
      <c r="G32">
        <f t="shared" si="1"/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f t="shared" si="5"/>
        <v>1</v>
      </c>
      <c r="S32">
        <v>2</v>
      </c>
      <c r="T32">
        <v>2</v>
      </c>
      <c r="V32">
        <f t="shared" si="2"/>
        <v>2</v>
      </c>
      <c r="X32">
        <v>1</v>
      </c>
      <c r="Y32">
        <v>3</v>
      </c>
      <c r="Z32">
        <v>0</v>
      </c>
      <c r="AB32">
        <f t="shared" si="0"/>
        <v>4</v>
      </c>
      <c r="AD32">
        <v>2</v>
      </c>
      <c r="AE32">
        <v>2</v>
      </c>
      <c r="AF32">
        <v>2</v>
      </c>
      <c r="AG32">
        <v>2</v>
      </c>
      <c r="AI32">
        <f>SUM(AD32,AE32,AF32,AG32)</f>
        <v>8</v>
      </c>
      <c r="AK32">
        <v>500</v>
      </c>
      <c r="AM32">
        <v>2</v>
      </c>
      <c r="AO32">
        <v>1</v>
      </c>
    </row>
    <row r="33" spans="2:41" x14ac:dyDescent="0.35">
      <c r="B33">
        <v>0</v>
      </c>
      <c r="C33">
        <v>1</v>
      </c>
      <c r="D33">
        <v>1</v>
      </c>
      <c r="G33">
        <f t="shared" si="1"/>
        <v>2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Q33">
        <f t="shared" si="5"/>
        <v>2</v>
      </c>
      <c r="S33">
        <v>5</v>
      </c>
      <c r="T33">
        <v>4</v>
      </c>
      <c r="V33">
        <f t="shared" si="2"/>
        <v>4</v>
      </c>
      <c r="X33">
        <v>1</v>
      </c>
      <c r="Y33">
        <v>2</v>
      </c>
      <c r="Z33">
        <v>0</v>
      </c>
      <c r="AB33">
        <f t="shared" si="0"/>
        <v>3</v>
      </c>
      <c r="AD33">
        <v>2</v>
      </c>
      <c r="AE33">
        <v>2</v>
      </c>
      <c r="AF33">
        <v>2</v>
      </c>
      <c r="AG33">
        <v>2</v>
      </c>
      <c r="AI33">
        <f t="shared" si="3"/>
        <v>8</v>
      </c>
      <c r="AK33">
        <v>742</v>
      </c>
      <c r="AM33">
        <v>7</v>
      </c>
      <c r="AO33">
        <v>1</v>
      </c>
    </row>
    <row r="34" spans="2:41" x14ac:dyDescent="0.35">
      <c r="B34">
        <v>0</v>
      </c>
      <c r="C34">
        <v>0</v>
      </c>
      <c r="D34">
        <v>0</v>
      </c>
      <c r="G34">
        <f t="shared" si="1"/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f t="shared" si="5"/>
        <v>1</v>
      </c>
      <c r="S34">
        <v>4</v>
      </c>
      <c r="T34">
        <v>6</v>
      </c>
      <c r="V34">
        <f t="shared" si="2"/>
        <v>4</v>
      </c>
      <c r="X34">
        <v>1</v>
      </c>
      <c r="Y34">
        <v>1</v>
      </c>
      <c r="Z34">
        <v>0</v>
      </c>
      <c r="AB34">
        <f t="shared" si="0"/>
        <v>2</v>
      </c>
      <c r="AD34">
        <v>2</v>
      </c>
      <c r="AE34">
        <v>2</v>
      </c>
      <c r="AF34">
        <v>2</v>
      </c>
      <c r="AG34">
        <v>2</v>
      </c>
      <c r="AI34">
        <f t="shared" si="3"/>
        <v>8</v>
      </c>
      <c r="AK34">
        <v>345</v>
      </c>
      <c r="AM34">
        <v>8</v>
      </c>
      <c r="AO34">
        <v>1</v>
      </c>
    </row>
    <row r="35" spans="2:41" x14ac:dyDescent="0.35">
      <c r="B35">
        <v>0</v>
      </c>
      <c r="C35">
        <v>0</v>
      </c>
      <c r="D35">
        <v>1</v>
      </c>
      <c r="G35">
        <f t="shared" si="1"/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f t="shared" si="5"/>
        <v>1</v>
      </c>
      <c r="S35">
        <v>2</v>
      </c>
      <c r="T35">
        <v>5</v>
      </c>
      <c r="V35">
        <f t="shared" si="2"/>
        <v>2</v>
      </c>
      <c r="X35">
        <v>1</v>
      </c>
      <c r="Y35">
        <v>1</v>
      </c>
      <c r="Z35">
        <v>0</v>
      </c>
      <c r="AB35">
        <f t="shared" si="0"/>
        <v>2</v>
      </c>
      <c r="AD35">
        <v>2</v>
      </c>
      <c r="AE35">
        <v>1</v>
      </c>
      <c r="AF35">
        <v>2</v>
      </c>
      <c r="AG35">
        <v>2</v>
      </c>
      <c r="AI35">
        <f t="shared" si="3"/>
        <v>7</v>
      </c>
      <c r="AK35">
        <v>329</v>
      </c>
      <c r="AM35">
        <v>10</v>
      </c>
      <c r="AO35">
        <v>1</v>
      </c>
    </row>
    <row r="36" spans="2:41" x14ac:dyDescent="0.35">
      <c r="B36">
        <v>0</v>
      </c>
      <c r="C36">
        <v>0</v>
      </c>
      <c r="D36">
        <v>1</v>
      </c>
      <c r="G36">
        <f t="shared" si="1"/>
        <v>1</v>
      </c>
      <c r="I36">
        <v>1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Q36">
        <f t="shared" si="5"/>
        <v>3</v>
      </c>
      <c r="T36">
        <v>7</v>
      </c>
      <c r="V36">
        <f t="shared" si="2"/>
        <v>7</v>
      </c>
      <c r="X36">
        <v>1</v>
      </c>
      <c r="Y36">
        <v>0</v>
      </c>
      <c r="Z36">
        <v>0</v>
      </c>
      <c r="AB36">
        <f t="shared" si="0"/>
        <v>1</v>
      </c>
      <c r="AD36">
        <v>2</v>
      </c>
      <c r="AE36">
        <v>1</v>
      </c>
      <c r="AF36">
        <v>2</v>
      </c>
      <c r="AG36">
        <v>2</v>
      </c>
      <c r="AI36">
        <f t="shared" si="3"/>
        <v>7</v>
      </c>
      <c r="AK36">
        <v>615</v>
      </c>
      <c r="AM36">
        <v>12</v>
      </c>
      <c r="AO36">
        <v>1</v>
      </c>
    </row>
    <row r="37" spans="2:41" x14ac:dyDescent="0.35">
      <c r="B37">
        <v>0</v>
      </c>
      <c r="C37">
        <v>0</v>
      </c>
      <c r="D37">
        <v>0</v>
      </c>
      <c r="G37">
        <f t="shared" si="1"/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f t="shared" si="5"/>
        <v>1</v>
      </c>
      <c r="S37">
        <v>5</v>
      </c>
      <c r="T37">
        <v>7</v>
      </c>
      <c r="V37">
        <f t="shared" si="2"/>
        <v>5</v>
      </c>
      <c r="X37">
        <v>1</v>
      </c>
      <c r="Y37">
        <v>1</v>
      </c>
      <c r="Z37">
        <v>0</v>
      </c>
      <c r="AB37">
        <f t="shared" si="0"/>
        <v>2</v>
      </c>
      <c r="AD37">
        <v>2</v>
      </c>
      <c r="AE37">
        <v>1</v>
      </c>
      <c r="AF37">
        <v>2</v>
      </c>
      <c r="AG37">
        <v>2</v>
      </c>
      <c r="AI37">
        <f t="shared" si="3"/>
        <v>7</v>
      </c>
      <c r="AK37">
        <v>228</v>
      </c>
      <c r="AM37">
        <v>13</v>
      </c>
      <c r="AO37">
        <v>1</v>
      </c>
    </row>
    <row r="38" spans="2:41" x14ac:dyDescent="0.35">
      <c r="B38">
        <v>0</v>
      </c>
      <c r="C38">
        <v>0</v>
      </c>
      <c r="D38">
        <v>0</v>
      </c>
      <c r="G38">
        <f t="shared" si="1"/>
        <v>0</v>
      </c>
      <c r="I38">
        <v>2</v>
      </c>
      <c r="J38">
        <v>0</v>
      </c>
      <c r="K38">
        <v>1</v>
      </c>
      <c r="L38">
        <v>0</v>
      </c>
      <c r="M38">
        <v>1</v>
      </c>
      <c r="N38">
        <v>0</v>
      </c>
      <c r="O38">
        <v>0</v>
      </c>
      <c r="Q38">
        <f t="shared" si="5"/>
        <v>4</v>
      </c>
      <c r="T38">
        <v>15</v>
      </c>
      <c r="V38">
        <f t="shared" si="2"/>
        <v>15</v>
      </c>
      <c r="X38">
        <v>1</v>
      </c>
      <c r="Y38">
        <v>2</v>
      </c>
      <c r="Z38">
        <v>0</v>
      </c>
      <c r="AB38">
        <f t="shared" si="0"/>
        <v>3</v>
      </c>
      <c r="AD38">
        <v>2</v>
      </c>
      <c r="AE38">
        <v>1</v>
      </c>
      <c r="AF38">
        <v>2</v>
      </c>
      <c r="AG38">
        <v>2</v>
      </c>
      <c r="AI38">
        <f t="shared" si="3"/>
        <v>7</v>
      </c>
      <c r="AK38">
        <v>1031</v>
      </c>
      <c r="AM38">
        <v>15</v>
      </c>
      <c r="AO38">
        <v>1</v>
      </c>
    </row>
    <row r="39" spans="2:41" x14ac:dyDescent="0.35">
      <c r="B39">
        <v>0</v>
      </c>
      <c r="C39">
        <v>0</v>
      </c>
      <c r="D39">
        <v>0</v>
      </c>
      <c r="G39">
        <f>SUM(B39,C39,D39)</f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f t="shared" si="5"/>
        <v>1</v>
      </c>
      <c r="S39">
        <v>15</v>
      </c>
      <c r="T39">
        <v>15</v>
      </c>
      <c r="V39">
        <f>IF(S39="",T39,IF(T39="",S39,MIN(S39,T39)))</f>
        <v>15</v>
      </c>
      <c r="X39">
        <v>1</v>
      </c>
      <c r="Y39">
        <v>1</v>
      </c>
      <c r="Z39">
        <v>0</v>
      </c>
      <c r="AB39">
        <f t="shared" si="0"/>
        <v>2</v>
      </c>
      <c r="AD39">
        <v>2</v>
      </c>
      <c r="AE39">
        <v>1</v>
      </c>
      <c r="AF39">
        <v>2</v>
      </c>
      <c r="AG39">
        <v>2</v>
      </c>
      <c r="AI39">
        <f t="shared" si="3"/>
        <v>7</v>
      </c>
      <c r="AK39">
        <v>433</v>
      </c>
      <c r="AM39">
        <v>20</v>
      </c>
      <c r="AO39">
        <v>1</v>
      </c>
    </row>
    <row r="40" spans="2:41" x14ac:dyDescent="0.35">
      <c r="B40">
        <v>0</v>
      </c>
      <c r="C40">
        <v>0</v>
      </c>
      <c r="D40">
        <v>1</v>
      </c>
      <c r="G40">
        <f t="shared" si="1"/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f t="shared" si="5"/>
        <v>1</v>
      </c>
      <c r="S40">
        <v>1</v>
      </c>
      <c r="V40">
        <f t="shared" si="2"/>
        <v>1</v>
      </c>
      <c r="X40">
        <v>1</v>
      </c>
      <c r="Y40">
        <v>1</v>
      </c>
      <c r="Z40">
        <v>0</v>
      </c>
      <c r="AB40">
        <f t="shared" si="0"/>
        <v>2</v>
      </c>
      <c r="AD40">
        <v>2</v>
      </c>
      <c r="AE40">
        <v>2</v>
      </c>
      <c r="AF40">
        <v>2</v>
      </c>
      <c r="AG40">
        <v>2</v>
      </c>
      <c r="AI40">
        <f t="shared" si="3"/>
        <v>8</v>
      </c>
      <c r="AK40">
        <v>1082</v>
      </c>
      <c r="AM40">
        <v>12</v>
      </c>
      <c r="AO40">
        <v>1</v>
      </c>
    </row>
    <row r="41" spans="2:41" x14ac:dyDescent="0.35">
      <c r="B41">
        <v>0</v>
      </c>
      <c r="C41">
        <v>0</v>
      </c>
      <c r="D41">
        <v>0</v>
      </c>
      <c r="G41">
        <f t="shared" si="1"/>
        <v>0</v>
      </c>
      <c r="I41">
        <v>2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Q41">
        <f t="shared" si="5"/>
        <v>4</v>
      </c>
      <c r="T41">
        <v>12</v>
      </c>
      <c r="V41">
        <f t="shared" si="2"/>
        <v>12</v>
      </c>
      <c r="X41">
        <v>1</v>
      </c>
      <c r="Y41">
        <v>0</v>
      </c>
      <c r="Z41">
        <v>0</v>
      </c>
      <c r="AB41">
        <f t="shared" si="0"/>
        <v>1</v>
      </c>
      <c r="AD41">
        <v>2</v>
      </c>
      <c r="AE41">
        <v>2</v>
      </c>
      <c r="AF41">
        <v>2</v>
      </c>
      <c r="AG41">
        <v>2</v>
      </c>
      <c r="AI41">
        <f t="shared" si="3"/>
        <v>8</v>
      </c>
      <c r="AK41">
        <v>1023</v>
      </c>
      <c r="AM41">
        <v>12</v>
      </c>
      <c r="AO41">
        <v>1</v>
      </c>
    </row>
    <row r="42" spans="2:41" x14ac:dyDescent="0.35">
      <c r="B42">
        <v>0</v>
      </c>
      <c r="C42">
        <v>0</v>
      </c>
      <c r="D42">
        <v>2</v>
      </c>
      <c r="G42">
        <f t="shared" si="1"/>
        <v>2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Q42">
        <f t="shared" si="5"/>
        <v>4</v>
      </c>
      <c r="S42">
        <v>15</v>
      </c>
      <c r="T42">
        <v>16</v>
      </c>
      <c r="V42">
        <f t="shared" si="2"/>
        <v>15</v>
      </c>
      <c r="X42">
        <v>1</v>
      </c>
      <c r="Y42">
        <v>2</v>
      </c>
      <c r="Z42">
        <v>0</v>
      </c>
      <c r="AB42">
        <f t="shared" si="0"/>
        <v>3</v>
      </c>
      <c r="AD42">
        <v>2</v>
      </c>
      <c r="AE42">
        <v>1</v>
      </c>
      <c r="AF42">
        <v>2</v>
      </c>
      <c r="AG42">
        <v>2</v>
      </c>
      <c r="AI42">
        <f t="shared" si="3"/>
        <v>7</v>
      </c>
      <c r="AK42">
        <v>1377</v>
      </c>
      <c r="AM42">
        <v>10</v>
      </c>
      <c r="AO42">
        <v>1</v>
      </c>
    </row>
    <row r="43" spans="2:41" x14ac:dyDescent="0.35">
      <c r="B43">
        <v>0</v>
      </c>
      <c r="C43">
        <v>0</v>
      </c>
      <c r="D43">
        <v>1</v>
      </c>
      <c r="G43">
        <f t="shared" si="1"/>
        <v>1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Q43">
        <f t="shared" si="5"/>
        <v>2</v>
      </c>
      <c r="T43">
        <v>1.4</v>
      </c>
      <c r="V43">
        <f t="shared" si="2"/>
        <v>1.4</v>
      </c>
      <c r="X43">
        <v>1</v>
      </c>
      <c r="Y43">
        <v>0</v>
      </c>
      <c r="Z43">
        <v>0</v>
      </c>
      <c r="AB43">
        <f t="shared" si="0"/>
        <v>1</v>
      </c>
      <c r="AD43">
        <v>2</v>
      </c>
      <c r="AE43">
        <v>2</v>
      </c>
      <c r="AF43">
        <v>2</v>
      </c>
      <c r="AG43">
        <v>2</v>
      </c>
      <c r="AI43">
        <f>SUM(AD43,AE43,AF43,AG43)</f>
        <v>8</v>
      </c>
      <c r="AK43">
        <v>690</v>
      </c>
      <c r="AM43">
        <v>2</v>
      </c>
      <c r="AO43">
        <v>1</v>
      </c>
    </row>
    <row r="44" spans="2:41" x14ac:dyDescent="0.35">
      <c r="B44">
        <v>0</v>
      </c>
      <c r="C44">
        <v>0</v>
      </c>
      <c r="D44">
        <v>0</v>
      </c>
      <c r="G44">
        <f t="shared" si="1"/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Q44">
        <f t="shared" si="5"/>
        <v>1</v>
      </c>
      <c r="T44">
        <v>0.7</v>
      </c>
      <c r="V44">
        <f t="shared" si="2"/>
        <v>0.7</v>
      </c>
      <c r="X44">
        <v>1</v>
      </c>
      <c r="Y44">
        <v>1</v>
      </c>
      <c r="Z44">
        <v>0</v>
      </c>
      <c r="AB44">
        <f t="shared" si="0"/>
        <v>2</v>
      </c>
      <c r="AD44">
        <v>2</v>
      </c>
      <c r="AE44">
        <v>2</v>
      </c>
      <c r="AF44">
        <v>2</v>
      </c>
      <c r="AG44">
        <v>2</v>
      </c>
      <c r="AI44">
        <f t="shared" si="3"/>
        <v>8</v>
      </c>
      <c r="AK44">
        <v>720</v>
      </c>
      <c r="AM44">
        <v>0</v>
      </c>
      <c r="AO44">
        <v>1</v>
      </c>
    </row>
    <row r="45" spans="2:41" x14ac:dyDescent="0.35">
      <c r="B45">
        <v>0</v>
      </c>
      <c r="C45">
        <v>0</v>
      </c>
      <c r="D45">
        <v>0</v>
      </c>
      <c r="G45">
        <f t="shared" si="1"/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f t="shared" si="5"/>
        <v>2</v>
      </c>
      <c r="S45">
        <v>1</v>
      </c>
      <c r="V45">
        <f t="shared" si="2"/>
        <v>1</v>
      </c>
      <c r="X45">
        <v>1</v>
      </c>
      <c r="Y45">
        <v>2</v>
      </c>
      <c r="Z45">
        <v>0</v>
      </c>
      <c r="AB45">
        <f t="shared" si="0"/>
        <v>3</v>
      </c>
      <c r="AD45">
        <v>2</v>
      </c>
      <c r="AE45">
        <v>2</v>
      </c>
      <c r="AF45">
        <v>2</v>
      </c>
      <c r="AG45">
        <v>2</v>
      </c>
      <c r="AI45">
        <f t="shared" si="3"/>
        <v>8</v>
      </c>
      <c r="AK45">
        <v>1434</v>
      </c>
      <c r="AM45">
        <v>0.5</v>
      </c>
      <c r="AO45">
        <v>1</v>
      </c>
    </row>
    <row r="46" spans="2:41" x14ac:dyDescent="0.35">
      <c r="B46">
        <v>0</v>
      </c>
      <c r="C46">
        <v>0</v>
      </c>
      <c r="D46">
        <v>1</v>
      </c>
      <c r="G46">
        <f t="shared" si="1"/>
        <v>1</v>
      </c>
      <c r="I46">
        <v>2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Q46">
        <f t="shared" si="5"/>
        <v>3</v>
      </c>
      <c r="S46">
        <v>1</v>
      </c>
      <c r="T46">
        <v>3</v>
      </c>
      <c r="V46">
        <f t="shared" si="2"/>
        <v>1</v>
      </c>
      <c r="X46">
        <v>1</v>
      </c>
      <c r="Y46">
        <v>5</v>
      </c>
      <c r="Z46">
        <v>0</v>
      </c>
      <c r="AB46">
        <f t="shared" si="0"/>
        <v>6</v>
      </c>
      <c r="AD46">
        <v>2</v>
      </c>
      <c r="AE46">
        <v>1</v>
      </c>
      <c r="AF46">
        <v>2</v>
      </c>
      <c r="AG46">
        <v>2</v>
      </c>
      <c r="AI46">
        <f t="shared" si="3"/>
        <v>7</v>
      </c>
      <c r="AK46">
        <v>951</v>
      </c>
      <c r="AM46">
        <v>4</v>
      </c>
      <c r="AO46">
        <v>1</v>
      </c>
    </row>
    <row r="47" spans="2:41" x14ac:dyDescent="0.35">
      <c r="B47">
        <v>0</v>
      </c>
      <c r="C47">
        <v>0</v>
      </c>
      <c r="D47">
        <v>1</v>
      </c>
      <c r="G47">
        <f t="shared" si="1"/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f t="shared" si="5"/>
        <v>1</v>
      </c>
      <c r="S47">
        <v>7</v>
      </c>
      <c r="T47">
        <v>9</v>
      </c>
      <c r="V47">
        <f t="shared" si="2"/>
        <v>7</v>
      </c>
      <c r="X47">
        <v>1</v>
      </c>
      <c r="Y47">
        <v>2</v>
      </c>
      <c r="Z47">
        <v>0</v>
      </c>
      <c r="AB47">
        <f t="shared" si="0"/>
        <v>3</v>
      </c>
      <c r="AD47">
        <v>2</v>
      </c>
      <c r="AE47">
        <v>1</v>
      </c>
      <c r="AF47">
        <v>2</v>
      </c>
      <c r="AG47">
        <v>2</v>
      </c>
      <c r="AI47">
        <f t="shared" si="3"/>
        <v>7</v>
      </c>
      <c r="AK47">
        <v>767</v>
      </c>
      <c r="AM47">
        <v>10</v>
      </c>
      <c r="AO47">
        <v>1</v>
      </c>
    </row>
    <row r="48" spans="2:41" x14ac:dyDescent="0.35">
      <c r="B48">
        <v>0</v>
      </c>
      <c r="C48">
        <v>0</v>
      </c>
      <c r="D48">
        <v>1</v>
      </c>
      <c r="G48">
        <f t="shared" si="1"/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>
        <f>SUM(I48,J48,K48,L48,M48,N48,O48)</f>
        <v>1</v>
      </c>
      <c r="S48">
        <v>16</v>
      </c>
      <c r="T48">
        <v>16</v>
      </c>
      <c r="V48">
        <f t="shared" si="2"/>
        <v>16</v>
      </c>
      <c r="X48">
        <v>0</v>
      </c>
      <c r="Y48">
        <v>0</v>
      </c>
      <c r="Z48">
        <v>0</v>
      </c>
      <c r="AB48">
        <f t="shared" si="0"/>
        <v>0</v>
      </c>
      <c r="AD48">
        <v>2</v>
      </c>
      <c r="AE48">
        <v>2</v>
      </c>
      <c r="AF48">
        <v>2</v>
      </c>
      <c r="AG48">
        <v>2</v>
      </c>
      <c r="AI48">
        <f t="shared" si="3"/>
        <v>8</v>
      </c>
      <c r="AK48">
        <v>255</v>
      </c>
      <c r="AM48">
        <v>48</v>
      </c>
      <c r="AO48">
        <v>2</v>
      </c>
    </row>
    <row r="49" spans="2:41" x14ac:dyDescent="0.35">
      <c r="B49">
        <v>0</v>
      </c>
      <c r="C49">
        <v>0</v>
      </c>
      <c r="D49">
        <v>1</v>
      </c>
      <c r="G49">
        <f t="shared" si="1"/>
        <v>1</v>
      </c>
      <c r="I49">
        <v>2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Q49">
        <f>SUM(I49,J49,K49,L49,M49,N49,O49)</f>
        <v>4</v>
      </c>
      <c r="S49">
        <v>6</v>
      </c>
      <c r="T49">
        <v>11</v>
      </c>
      <c r="V49">
        <f t="shared" si="2"/>
        <v>6</v>
      </c>
      <c r="X49">
        <v>1</v>
      </c>
      <c r="Y49">
        <v>0</v>
      </c>
      <c r="Z49">
        <v>0</v>
      </c>
      <c r="AB49">
        <f t="shared" si="0"/>
        <v>1</v>
      </c>
      <c r="AD49">
        <v>2</v>
      </c>
      <c r="AE49">
        <v>2</v>
      </c>
      <c r="AF49">
        <v>2</v>
      </c>
      <c r="AG49">
        <v>2</v>
      </c>
      <c r="AI49">
        <f t="shared" si="3"/>
        <v>8</v>
      </c>
      <c r="AK49">
        <v>1196</v>
      </c>
      <c r="AM49">
        <v>46</v>
      </c>
      <c r="AO49">
        <v>1</v>
      </c>
    </row>
    <row r="50" spans="2:41" x14ac:dyDescent="0.35">
      <c r="B50">
        <v>1</v>
      </c>
      <c r="C50">
        <v>1</v>
      </c>
      <c r="D50">
        <v>1</v>
      </c>
      <c r="G50">
        <f t="shared" si="1"/>
        <v>3</v>
      </c>
      <c r="I50">
        <v>4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Q50">
        <f t="shared" ref="Q50:Q62" si="6">SUM(I50,J50,K50,L50,M50,N50,O50)</f>
        <v>6</v>
      </c>
      <c r="T50">
        <v>2</v>
      </c>
      <c r="V50">
        <f>IF(S50="",T50,IF(T50="",S50,MIN(S50,T50)))</f>
        <v>2</v>
      </c>
      <c r="X50">
        <v>1</v>
      </c>
      <c r="Y50">
        <v>1</v>
      </c>
      <c r="Z50">
        <v>0</v>
      </c>
      <c r="AB50">
        <f t="shared" si="0"/>
        <v>2</v>
      </c>
      <c r="AD50">
        <v>2</v>
      </c>
      <c r="AE50">
        <v>2</v>
      </c>
      <c r="AF50">
        <v>2</v>
      </c>
      <c r="AG50">
        <v>2</v>
      </c>
      <c r="AI50">
        <f t="shared" si="3"/>
        <v>8</v>
      </c>
      <c r="AK50">
        <v>1311</v>
      </c>
      <c r="AM50">
        <v>10</v>
      </c>
      <c r="AO50">
        <v>1</v>
      </c>
    </row>
    <row r="51" spans="2:41" x14ac:dyDescent="0.35">
      <c r="B51">
        <v>0</v>
      </c>
      <c r="C51">
        <v>0</v>
      </c>
      <c r="D51">
        <v>2</v>
      </c>
      <c r="G51">
        <f>SUM(B51,C51,D51)</f>
        <v>2</v>
      </c>
      <c r="I51">
        <v>2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Q51">
        <f t="shared" si="6"/>
        <v>3</v>
      </c>
      <c r="S51">
        <v>2</v>
      </c>
      <c r="V51">
        <f t="shared" si="2"/>
        <v>2</v>
      </c>
      <c r="X51">
        <v>1</v>
      </c>
      <c r="Y51">
        <v>2</v>
      </c>
      <c r="Z51">
        <v>1</v>
      </c>
      <c r="AB51">
        <f t="shared" si="0"/>
        <v>4</v>
      </c>
      <c r="AD51">
        <v>2</v>
      </c>
      <c r="AE51">
        <v>2</v>
      </c>
      <c r="AF51">
        <v>2</v>
      </c>
      <c r="AG51">
        <v>2</v>
      </c>
      <c r="AI51">
        <f t="shared" si="3"/>
        <v>8</v>
      </c>
      <c r="AK51">
        <v>512</v>
      </c>
      <c r="AM51">
        <v>14</v>
      </c>
      <c r="AO51">
        <v>1</v>
      </c>
    </row>
    <row r="52" spans="2:41" x14ac:dyDescent="0.35">
      <c r="B52">
        <v>0</v>
      </c>
      <c r="C52">
        <v>0</v>
      </c>
      <c r="D52">
        <v>1</v>
      </c>
      <c r="G52">
        <f t="shared" si="1"/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>
        <f t="shared" si="6"/>
        <v>1</v>
      </c>
      <c r="S52">
        <v>11</v>
      </c>
      <c r="T52">
        <v>9</v>
      </c>
      <c r="V52">
        <f t="shared" si="2"/>
        <v>9</v>
      </c>
      <c r="X52">
        <v>2</v>
      </c>
      <c r="Y52">
        <v>2</v>
      </c>
      <c r="Z52">
        <v>0</v>
      </c>
      <c r="AB52">
        <f t="shared" si="0"/>
        <v>4</v>
      </c>
      <c r="AD52">
        <v>2</v>
      </c>
      <c r="AE52">
        <v>2</v>
      </c>
      <c r="AF52">
        <v>2</v>
      </c>
      <c r="AG52">
        <v>2</v>
      </c>
      <c r="AI52">
        <f t="shared" si="3"/>
        <v>8</v>
      </c>
      <c r="AK52">
        <v>485</v>
      </c>
      <c r="AM52">
        <v>15</v>
      </c>
      <c r="AO52">
        <v>1</v>
      </c>
    </row>
    <row r="53" spans="2:41" x14ac:dyDescent="0.35">
      <c r="B53">
        <v>0</v>
      </c>
      <c r="C53">
        <v>0</v>
      </c>
      <c r="D53">
        <v>0</v>
      </c>
      <c r="G53">
        <f t="shared" si="1"/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f t="shared" si="6"/>
        <v>1</v>
      </c>
      <c r="S53">
        <v>9</v>
      </c>
      <c r="T53">
        <v>6</v>
      </c>
      <c r="V53">
        <f t="shared" si="2"/>
        <v>6</v>
      </c>
      <c r="X53">
        <v>1</v>
      </c>
      <c r="Y53">
        <v>1</v>
      </c>
      <c r="Z53">
        <v>0</v>
      </c>
      <c r="AB53">
        <f t="shared" si="0"/>
        <v>2</v>
      </c>
      <c r="AD53">
        <v>2</v>
      </c>
      <c r="AE53">
        <v>2</v>
      </c>
      <c r="AF53">
        <v>2</v>
      </c>
      <c r="AG53">
        <v>2</v>
      </c>
      <c r="AI53">
        <f t="shared" si="3"/>
        <v>8</v>
      </c>
      <c r="AK53">
        <v>386</v>
      </c>
      <c r="AM53">
        <v>20</v>
      </c>
      <c r="AO53">
        <v>1</v>
      </c>
    </row>
    <row r="54" spans="2:41" x14ac:dyDescent="0.35">
      <c r="B54">
        <v>0</v>
      </c>
      <c r="C54">
        <v>0</v>
      </c>
      <c r="D54">
        <v>0</v>
      </c>
      <c r="G54">
        <f t="shared" si="1"/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f t="shared" si="6"/>
        <v>1</v>
      </c>
      <c r="S54">
        <v>6</v>
      </c>
      <c r="T54">
        <v>2</v>
      </c>
      <c r="V54">
        <f t="shared" si="2"/>
        <v>2</v>
      </c>
      <c r="X54">
        <v>1</v>
      </c>
      <c r="Y54">
        <v>1</v>
      </c>
      <c r="Z54">
        <v>0</v>
      </c>
      <c r="AB54">
        <f t="shared" si="0"/>
        <v>2</v>
      </c>
      <c r="AD54">
        <v>2</v>
      </c>
      <c r="AE54">
        <v>2</v>
      </c>
      <c r="AF54">
        <v>2</v>
      </c>
      <c r="AG54">
        <v>2</v>
      </c>
      <c r="AI54">
        <f t="shared" si="3"/>
        <v>8</v>
      </c>
      <c r="AK54">
        <v>215</v>
      </c>
      <c r="AM54">
        <v>17</v>
      </c>
      <c r="AO54">
        <v>1</v>
      </c>
    </row>
    <row r="55" spans="2:41" x14ac:dyDescent="0.35">
      <c r="B55">
        <v>0</v>
      </c>
      <c r="C55">
        <v>0</v>
      </c>
      <c r="D55">
        <v>1</v>
      </c>
      <c r="G55">
        <f t="shared" si="1"/>
        <v>1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Q55">
        <f t="shared" si="6"/>
        <v>2</v>
      </c>
      <c r="S55">
        <v>6</v>
      </c>
      <c r="T55">
        <v>3</v>
      </c>
      <c r="V55">
        <f t="shared" si="2"/>
        <v>3</v>
      </c>
      <c r="X55">
        <v>1</v>
      </c>
      <c r="Y55">
        <v>0</v>
      </c>
      <c r="Z55">
        <v>0</v>
      </c>
      <c r="AB55">
        <f t="shared" si="0"/>
        <v>1</v>
      </c>
      <c r="AD55">
        <v>2</v>
      </c>
      <c r="AE55">
        <v>2</v>
      </c>
      <c r="AF55">
        <v>2</v>
      </c>
      <c r="AG55">
        <v>2</v>
      </c>
      <c r="AI55">
        <f>SUM(AD55,AE55,AF55,AG55)</f>
        <v>8</v>
      </c>
      <c r="AK55">
        <v>831</v>
      </c>
      <c r="AM55">
        <v>15</v>
      </c>
      <c r="AO55">
        <v>1</v>
      </c>
    </row>
    <row r="56" spans="2:41" x14ac:dyDescent="0.35">
      <c r="B56">
        <v>0</v>
      </c>
      <c r="C56">
        <v>0</v>
      </c>
      <c r="D56">
        <v>1</v>
      </c>
      <c r="G56">
        <f t="shared" si="1"/>
        <v>1</v>
      </c>
      <c r="I56">
        <v>2</v>
      </c>
      <c r="J56">
        <v>0</v>
      </c>
      <c r="K56">
        <v>1</v>
      </c>
      <c r="L56">
        <v>0</v>
      </c>
      <c r="M56">
        <v>1</v>
      </c>
      <c r="N56">
        <v>0</v>
      </c>
      <c r="O56">
        <v>0</v>
      </c>
      <c r="Q56">
        <f t="shared" si="6"/>
        <v>4</v>
      </c>
      <c r="S56">
        <v>8</v>
      </c>
      <c r="T56">
        <v>6</v>
      </c>
      <c r="V56">
        <f t="shared" si="2"/>
        <v>6</v>
      </c>
      <c r="X56">
        <v>1</v>
      </c>
      <c r="Y56">
        <v>1</v>
      </c>
      <c r="Z56">
        <v>0</v>
      </c>
      <c r="AB56">
        <f t="shared" si="0"/>
        <v>2</v>
      </c>
      <c r="AD56">
        <v>2</v>
      </c>
      <c r="AE56">
        <v>2</v>
      </c>
      <c r="AF56">
        <v>2</v>
      </c>
      <c r="AG56">
        <v>2</v>
      </c>
      <c r="AI56">
        <f t="shared" si="3"/>
        <v>8</v>
      </c>
      <c r="AK56">
        <v>569</v>
      </c>
      <c r="AM56">
        <v>9</v>
      </c>
      <c r="AO56">
        <v>1</v>
      </c>
    </row>
    <row r="57" spans="2:41" x14ac:dyDescent="0.35">
      <c r="B57">
        <v>0</v>
      </c>
      <c r="C57">
        <v>0</v>
      </c>
      <c r="D57">
        <v>1</v>
      </c>
      <c r="G57">
        <f t="shared" si="1"/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Q57">
        <f t="shared" si="6"/>
        <v>1</v>
      </c>
      <c r="T57">
        <v>10</v>
      </c>
      <c r="V57">
        <f t="shared" si="2"/>
        <v>10</v>
      </c>
      <c r="X57">
        <v>1</v>
      </c>
      <c r="Y57">
        <v>2</v>
      </c>
      <c r="Z57">
        <v>0</v>
      </c>
      <c r="AB57">
        <f t="shared" si="0"/>
        <v>3</v>
      </c>
      <c r="AD57">
        <v>2</v>
      </c>
      <c r="AE57">
        <v>1</v>
      </c>
      <c r="AF57">
        <v>2</v>
      </c>
      <c r="AG57">
        <v>2</v>
      </c>
      <c r="AI57">
        <f t="shared" si="3"/>
        <v>7</v>
      </c>
      <c r="AK57">
        <v>368</v>
      </c>
      <c r="AM57">
        <v>4</v>
      </c>
      <c r="AO57">
        <v>1</v>
      </c>
    </row>
    <row r="58" spans="2:41" x14ac:dyDescent="0.35">
      <c r="B58">
        <v>0</v>
      </c>
      <c r="C58">
        <v>0</v>
      </c>
      <c r="D58">
        <v>0</v>
      </c>
      <c r="G58">
        <f t="shared" si="1"/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f t="shared" si="6"/>
        <v>1</v>
      </c>
      <c r="S58">
        <v>2</v>
      </c>
      <c r="T58">
        <v>7</v>
      </c>
      <c r="V58">
        <f t="shared" si="2"/>
        <v>2</v>
      </c>
      <c r="X58">
        <v>1</v>
      </c>
      <c r="Y58">
        <v>1</v>
      </c>
      <c r="Z58">
        <v>0</v>
      </c>
      <c r="AB58">
        <f t="shared" si="0"/>
        <v>2</v>
      </c>
      <c r="AD58">
        <v>2</v>
      </c>
      <c r="AE58">
        <v>1</v>
      </c>
      <c r="AF58">
        <v>2</v>
      </c>
      <c r="AG58">
        <v>2</v>
      </c>
      <c r="AI58">
        <f t="shared" si="3"/>
        <v>7</v>
      </c>
      <c r="AK58">
        <v>306</v>
      </c>
      <c r="AM58">
        <v>13</v>
      </c>
      <c r="AO58">
        <v>1</v>
      </c>
    </row>
    <row r="59" spans="2:41" x14ac:dyDescent="0.35">
      <c r="B59">
        <v>0</v>
      </c>
      <c r="C59">
        <v>0</v>
      </c>
      <c r="D59">
        <v>1</v>
      </c>
      <c r="G59">
        <f t="shared" si="1"/>
        <v>1</v>
      </c>
      <c r="I59">
        <v>2</v>
      </c>
      <c r="J59">
        <v>0</v>
      </c>
      <c r="K59">
        <v>1</v>
      </c>
      <c r="L59">
        <v>0</v>
      </c>
      <c r="M59">
        <v>1</v>
      </c>
      <c r="N59">
        <v>0</v>
      </c>
      <c r="O59">
        <v>1</v>
      </c>
      <c r="Q59">
        <f t="shared" si="6"/>
        <v>5</v>
      </c>
      <c r="S59">
        <v>2</v>
      </c>
      <c r="T59">
        <v>9</v>
      </c>
      <c r="V59">
        <f t="shared" si="2"/>
        <v>2</v>
      </c>
      <c r="X59">
        <v>1</v>
      </c>
      <c r="Y59">
        <v>0</v>
      </c>
      <c r="Z59">
        <v>0</v>
      </c>
      <c r="AB59">
        <f>SUM(X59,Y59,Z59)</f>
        <v>1</v>
      </c>
      <c r="AD59">
        <v>2</v>
      </c>
      <c r="AE59">
        <v>1</v>
      </c>
      <c r="AF59">
        <v>2</v>
      </c>
      <c r="AG59">
        <v>2</v>
      </c>
      <c r="AI59">
        <f t="shared" si="3"/>
        <v>7</v>
      </c>
      <c r="AK59">
        <v>1600</v>
      </c>
      <c r="AM59">
        <v>23</v>
      </c>
      <c r="AO59">
        <v>1</v>
      </c>
    </row>
    <row r="60" spans="2:41" x14ac:dyDescent="0.35">
      <c r="B60">
        <v>0</v>
      </c>
      <c r="C60">
        <v>0</v>
      </c>
      <c r="D60">
        <v>1</v>
      </c>
      <c r="G60">
        <f t="shared" si="1"/>
        <v>1</v>
      </c>
      <c r="I60">
        <v>1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Q60">
        <f t="shared" si="6"/>
        <v>2</v>
      </c>
      <c r="S60">
        <v>1</v>
      </c>
      <c r="V60">
        <f t="shared" si="2"/>
        <v>1</v>
      </c>
      <c r="X60">
        <v>1</v>
      </c>
      <c r="Y60">
        <v>2</v>
      </c>
      <c r="Z60">
        <v>0</v>
      </c>
      <c r="AB60">
        <f t="shared" si="0"/>
        <v>3</v>
      </c>
      <c r="AD60">
        <v>2</v>
      </c>
      <c r="AE60">
        <v>1</v>
      </c>
      <c r="AF60">
        <v>2</v>
      </c>
      <c r="AG60">
        <v>2</v>
      </c>
      <c r="AI60">
        <f t="shared" si="3"/>
        <v>7</v>
      </c>
      <c r="AK60">
        <v>793</v>
      </c>
      <c r="AM60">
        <v>24</v>
      </c>
      <c r="AO60">
        <v>1</v>
      </c>
    </row>
    <row r="61" spans="2:41" x14ac:dyDescent="0.35">
      <c r="B61">
        <v>0</v>
      </c>
      <c r="C61">
        <v>0</v>
      </c>
      <c r="D61">
        <v>1</v>
      </c>
      <c r="G61">
        <f t="shared" si="1"/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f t="shared" si="6"/>
        <v>1</v>
      </c>
      <c r="S61">
        <v>2.5</v>
      </c>
      <c r="T61">
        <v>2.5</v>
      </c>
      <c r="V61">
        <f t="shared" si="2"/>
        <v>2.5</v>
      </c>
      <c r="X61">
        <v>1</v>
      </c>
      <c r="Y61">
        <v>2</v>
      </c>
      <c r="Z61">
        <v>0</v>
      </c>
      <c r="AB61">
        <f t="shared" si="0"/>
        <v>3</v>
      </c>
      <c r="AD61">
        <v>2</v>
      </c>
      <c r="AE61">
        <v>2</v>
      </c>
      <c r="AF61">
        <v>2</v>
      </c>
      <c r="AG61">
        <v>2</v>
      </c>
      <c r="AI61">
        <f t="shared" si="3"/>
        <v>8</v>
      </c>
      <c r="AK61">
        <v>304</v>
      </c>
      <c r="AM61">
        <v>5.8</v>
      </c>
      <c r="AO61">
        <v>2</v>
      </c>
    </row>
    <row r="62" spans="2:41" x14ac:dyDescent="0.35">
      <c r="B62">
        <v>0</v>
      </c>
      <c r="C62">
        <v>0</v>
      </c>
      <c r="D62">
        <v>0</v>
      </c>
      <c r="G62">
        <f t="shared" si="1"/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Q62">
        <f t="shared" si="6"/>
        <v>3</v>
      </c>
      <c r="T62">
        <v>2</v>
      </c>
      <c r="V62">
        <f t="shared" si="2"/>
        <v>2</v>
      </c>
      <c r="X62">
        <v>0</v>
      </c>
      <c r="Y62">
        <v>0</v>
      </c>
      <c r="Z62">
        <v>0</v>
      </c>
      <c r="AB62">
        <f t="shared" si="0"/>
        <v>0</v>
      </c>
      <c r="AD62">
        <v>2</v>
      </c>
      <c r="AE62">
        <v>2</v>
      </c>
      <c r="AF62">
        <v>2</v>
      </c>
      <c r="AG62">
        <v>2</v>
      </c>
      <c r="AI62">
        <f t="shared" si="3"/>
        <v>8</v>
      </c>
      <c r="AK62">
        <v>294</v>
      </c>
      <c r="AM62">
        <v>1</v>
      </c>
      <c r="AO62">
        <v>1</v>
      </c>
    </row>
    <row r="63" spans="2:41" x14ac:dyDescent="0.35">
      <c r="B63">
        <v>0</v>
      </c>
      <c r="C63">
        <v>0</v>
      </c>
      <c r="D63">
        <v>1</v>
      </c>
      <c r="G63">
        <f t="shared" si="1"/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f>SUM(I63,J63,K63,L63,M63,N63,O63)</f>
        <v>1</v>
      </c>
      <c r="S63">
        <v>14</v>
      </c>
      <c r="T63">
        <v>3.2</v>
      </c>
      <c r="V63">
        <f t="shared" si="2"/>
        <v>3.2</v>
      </c>
      <c r="X63">
        <v>1</v>
      </c>
      <c r="Y63">
        <v>1</v>
      </c>
      <c r="Z63">
        <v>0</v>
      </c>
      <c r="AB63">
        <f t="shared" si="0"/>
        <v>2</v>
      </c>
      <c r="AD63">
        <v>2</v>
      </c>
      <c r="AE63">
        <v>2</v>
      </c>
      <c r="AF63">
        <v>2</v>
      </c>
      <c r="AG63">
        <v>2</v>
      </c>
      <c r="AI63">
        <f t="shared" si="3"/>
        <v>8</v>
      </c>
      <c r="AK63">
        <v>335</v>
      </c>
      <c r="AM63">
        <v>0</v>
      </c>
      <c r="AO63">
        <v>1</v>
      </c>
    </row>
    <row r="64" spans="2:41" x14ac:dyDescent="0.35">
      <c r="B64">
        <v>0</v>
      </c>
      <c r="C64">
        <v>0</v>
      </c>
      <c r="D64">
        <v>0</v>
      </c>
      <c r="G64">
        <f t="shared" si="1"/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Q64">
        <f>SUM(I64,J64,K64,L64,M64,N64,O64)</f>
        <v>2</v>
      </c>
      <c r="S64">
        <v>9</v>
      </c>
      <c r="V64">
        <f t="shared" si="2"/>
        <v>9</v>
      </c>
      <c r="X64">
        <v>1</v>
      </c>
      <c r="Y64">
        <v>2</v>
      </c>
      <c r="Z64">
        <v>0</v>
      </c>
      <c r="AB64">
        <f t="shared" si="0"/>
        <v>3</v>
      </c>
      <c r="AD64">
        <v>2</v>
      </c>
      <c r="AE64">
        <v>2</v>
      </c>
      <c r="AF64">
        <v>2</v>
      </c>
      <c r="AG64">
        <v>2</v>
      </c>
      <c r="AI64">
        <f t="shared" si="3"/>
        <v>8</v>
      </c>
      <c r="AK64">
        <v>213</v>
      </c>
      <c r="AM64">
        <v>8</v>
      </c>
      <c r="AO64">
        <v>3</v>
      </c>
    </row>
    <row r="65" spans="2:41" x14ac:dyDescent="0.35">
      <c r="B65">
        <v>0</v>
      </c>
      <c r="C65">
        <v>0</v>
      </c>
      <c r="D65">
        <v>1</v>
      </c>
      <c r="G65">
        <f t="shared" si="1"/>
        <v>1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f t="shared" ref="Q65:Q73" si="7">SUM(I65,J65,K65,L65,M65,N65,O65)</f>
        <v>3</v>
      </c>
      <c r="S65">
        <v>7</v>
      </c>
      <c r="T65">
        <v>2</v>
      </c>
      <c r="V65">
        <f t="shared" si="2"/>
        <v>2</v>
      </c>
      <c r="X65">
        <v>1</v>
      </c>
      <c r="Y65">
        <v>1</v>
      </c>
      <c r="Z65">
        <v>0</v>
      </c>
      <c r="AB65">
        <f t="shared" si="0"/>
        <v>2</v>
      </c>
      <c r="AD65">
        <v>2</v>
      </c>
      <c r="AE65">
        <v>2</v>
      </c>
      <c r="AF65">
        <v>2</v>
      </c>
      <c r="AG65">
        <v>2</v>
      </c>
      <c r="AI65">
        <f t="shared" si="3"/>
        <v>8</v>
      </c>
      <c r="AK65">
        <v>545</v>
      </c>
      <c r="AM65">
        <v>17</v>
      </c>
      <c r="AO65">
        <v>1</v>
      </c>
    </row>
    <row r="66" spans="2:41" x14ac:dyDescent="0.35">
      <c r="B66">
        <v>0</v>
      </c>
      <c r="C66">
        <v>0</v>
      </c>
      <c r="D66">
        <v>1</v>
      </c>
      <c r="G66">
        <f t="shared" si="1"/>
        <v>1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Q66">
        <f t="shared" si="7"/>
        <v>2</v>
      </c>
      <c r="S66">
        <v>6</v>
      </c>
      <c r="T66">
        <v>13</v>
      </c>
      <c r="V66">
        <f t="shared" si="2"/>
        <v>6</v>
      </c>
      <c r="X66">
        <v>1</v>
      </c>
      <c r="Y66">
        <v>1</v>
      </c>
      <c r="Z66">
        <v>0</v>
      </c>
      <c r="AB66">
        <f t="shared" si="0"/>
        <v>2</v>
      </c>
      <c r="AD66">
        <v>2</v>
      </c>
      <c r="AE66">
        <v>2</v>
      </c>
      <c r="AF66">
        <v>2</v>
      </c>
      <c r="AG66">
        <v>2</v>
      </c>
      <c r="AI66">
        <f t="shared" si="3"/>
        <v>8</v>
      </c>
      <c r="AK66" s="4">
        <v>692</v>
      </c>
      <c r="AM66">
        <v>12</v>
      </c>
      <c r="AO66">
        <v>1</v>
      </c>
    </row>
    <row r="67" spans="2:41" x14ac:dyDescent="0.35">
      <c r="B67">
        <v>0</v>
      </c>
      <c r="C67">
        <v>0</v>
      </c>
      <c r="D67">
        <v>1</v>
      </c>
      <c r="G67">
        <f t="shared" si="1"/>
        <v>1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f t="shared" si="7"/>
        <v>2</v>
      </c>
      <c r="S67">
        <v>10</v>
      </c>
      <c r="T67">
        <v>20</v>
      </c>
      <c r="V67">
        <f t="shared" si="2"/>
        <v>10</v>
      </c>
      <c r="X67">
        <v>2</v>
      </c>
      <c r="Y67">
        <v>4</v>
      </c>
      <c r="Z67">
        <v>0</v>
      </c>
      <c r="AB67">
        <f t="shared" ref="AB67:AB73" si="8">SUM(X67,Y67,Z67)</f>
        <v>6</v>
      </c>
      <c r="AD67">
        <v>2</v>
      </c>
      <c r="AE67">
        <v>2</v>
      </c>
      <c r="AF67">
        <v>2</v>
      </c>
      <c r="AG67">
        <v>2</v>
      </c>
      <c r="AI67">
        <f t="shared" si="3"/>
        <v>8</v>
      </c>
      <c r="AK67">
        <v>506</v>
      </c>
      <c r="AM67">
        <v>13</v>
      </c>
      <c r="AO67">
        <v>3</v>
      </c>
    </row>
    <row r="68" spans="2:41" x14ac:dyDescent="0.35">
      <c r="B68">
        <v>0</v>
      </c>
      <c r="C68">
        <v>0</v>
      </c>
      <c r="D68">
        <v>0</v>
      </c>
      <c r="G68">
        <f t="shared" ref="G68" si="9">SUM(B68,C68,D68)</f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>
        <f t="shared" si="7"/>
        <v>1</v>
      </c>
      <c r="S68">
        <v>7</v>
      </c>
      <c r="T68">
        <v>18</v>
      </c>
      <c r="V68">
        <f t="shared" ref="V68" si="10">IF(S68="",T68,IF(T68="",S68,MIN(S68,T68)))</f>
        <v>7</v>
      </c>
      <c r="X68">
        <v>2</v>
      </c>
      <c r="Y68">
        <v>4</v>
      </c>
      <c r="Z68">
        <v>0</v>
      </c>
      <c r="AB68">
        <f>SUM(X68,Y68,Z68)</f>
        <v>6</v>
      </c>
      <c r="AD68">
        <v>2</v>
      </c>
      <c r="AE68">
        <v>1</v>
      </c>
      <c r="AF68">
        <v>2</v>
      </c>
      <c r="AG68">
        <v>2</v>
      </c>
      <c r="AI68">
        <f t="shared" ref="AI68" si="11">SUM(AD68,AE68,AF68,AG68)</f>
        <v>7</v>
      </c>
      <c r="AK68">
        <v>402</v>
      </c>
      <c r="AM68">
        <v>11</v>
      </c>
      <c r="AO68">
        <v>1</v>
      </c>
    </row>
    <row r="69" spans="2:41" x14ac:dyDescent="0.35">
      <c r="B69">
        <v>0</v>
      </c>
      <c r="C69">
        <v>0</v>
      </c>
      <c r="D69">
        <v>0</v>
      </c>
      <c r="G69">
        <f>SUM(B69,C69,D69)</f>
        <v>0</v>
      </c>
      <c r="I69">
        <v>1</v>
      </c>
      <c r="J69">
        <v>0</v>
      </c>
      <c r="K69">
        <v>1</v>
      </c>
      <c r="L69">
        <v>0</v>
      </c>
      <c r="M69">
        <v>1</v>
      </c>
      <c r="N69">
        <v>0</v>
      </c>
      <c r="O69">
        <v>0</v>
      </c>
      <c r="Q69">
        <f t="shared" si="7"/>
        <v>3</v>
      </c>
      <c r="S69">
        <v>5</v>
      </c>
      <c r="T69">
        <v>16</v>
      </c>
      <c r="V69">
        <f>IF(S69="",T69,IF(T69="",S69,MIN(S69,T69)))</f>
        <v>5</v>
      </c>
      <c r="X69">
        <v>2</v>
      </c>
      <c r="Y69">
        <v>3</v>
      </c>
      <c r="Z69">
        <v>0</v>
      </c>
      <c r="AB69">
        <f t="shared" si="8"/>
        <v>5</v>
      </c>
      <c r="AD69">
        <v>2</v>
      </c>
      <c r="AE69">
        <v>1</v>
      </c>
      <c r="AF69">
        <v>2</v>
      </c>
      <c r="AG69">
        <v>2</v>
      </c>
      <c r="AI69">
        <f>SUM(AD69,AE69,AF69,AG69)</f>
        <v>7</v>
      </c>
      <c r="AK69">
        <v>323</v>
      </c>
      <c r="AM69">
        <v>5</v>
      </c>
      <c r="AO69">
        <v>1</v>
      </c>
    </row>
    <row r="70" spans="2:41" x14ac:dyDescent="0.35">
      <c r="B70">
        <v>0</v>
      </c>
      <c r="C70">
        <v>0</v>
      </c>
      <c r="D70">
        <v>0</v>
      </c>
      <c r="G70">
        <f t="shared" ref="G70:G73" si="12">SUM(B70,C70,D70)</f>
        <v>0</v>
      </c>
      <c r="I70">
        <v>2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Q70">
        <f t="shared" si="7"/>
        <v>3</v>
      </c>
      <c r="S70">
        <v>2</v>
      </c>
      <c r="T70">
        <v>14</v>
      </c>
      <c r="V70">
        <f>IF(S70="",T70,IF(T70="",S70,MIN(S70,T70)))</f>
        <v>2</v>
      </c>
      <c r="X70">
        <v>1</v>
      </c>
      <c r="Y70">
        <v>1</v>
      </c>
      <c r="Z70">
        <v>0</v>
      </c>
      <c r="AB70">
        <f t="shared" si="8"/>
        <v>2</v>
      </c>
      <c r="AD70">
        <v>2</v>
      </c>
      <c r="AE70">
        <v>2</v>
      </c>
      <c r="AF70">
        <v>2</v>
      </c>
      <c r="AG70">
        <v>2</v>
      </c>
      <c r="AI70">
        <f t="shared" ref="AI70:AI73" si="13">SUM(AD70,AE70,AF70,AG70)</f>
        <v>8</v>
      </c>
      <c r="AK70">
        <v>1034</v>
      </c>
      <c r="AM70">
        <v>1</v>
      </c>
      <c r="AO70">
        <v>1</v>
      </c>
    </row>
    <row r="71" spans="2:41" x14ac:dyDescent="0.35">
      <c r="B71">
        <v>0</v>
      </c>
      <c r="C71">
        <v>0</v>
      </c>
      <c r="D71">
        <v>0</v>
      </c>
      <c r="G71">
        <f t="shared" si="12"/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>
        <f t="shared" si="7"/>
        <v>0</v>
      </c>
      <c r="T71">
        <v>9</v>
      </c>
      <c r="V71">
        <f t="shared" ref="V71:V73" si="14">IF(S71="",T71,IF(T71="",S71,MIN(S71,T71)))</f>
        <v>9</v>
      </c>
      <c r="X71">
        <v>1</v>
      </c>
      <c r="Y71">
        <v>3</v>
      </c>
      <c r="Z71">
        <v>0</v>
      </c>
      <c r="AB71">
        <f t="shared" si="8"/>
        <v>4</v>
      </c>
      <c r="AD71">
        <v>2</v>
      </c>
      <c r="AE71">
        <v>2</v>
      </c>
      <c r="AF71">
        <v>2</v>
      </c>
      <c r="AG71">
        <v>2</v>
      </c>
      <c r="AI71">
        <f t="shared" si="13"/>
        <v>8</v>
      </c>
      <c r="AK71">
        <v>535</v>
      </c>
      <c r="AM71">
        <v>2</v>
      </c>
      <c r="AO71">
        <v>1</v>
      </c>
    </row>
    <row r="72" spans="2:41" x14ac:dyDescent="0.35">
      <c r="B72">
        <v>0</v>
      </c>
      <c r="C72">
        <v>0</v>
      </c>
      <c r="D72">
        <v>0</v>
      </c>
      <c r="G72">
        <f t="shared" si="12"/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f t="shared" si="7"/>
        <v>1</v>
      </c>
      <c r="S72">
        <v>2</v>
      </c>
      <c r="T72">
        <v>18</v>
      </c>
      <c r="V72">
        <f t="shared" si="14"/>
        <v>2</v>
      </c>
      <c r="X72">
        <v>2</v>
      </c>
      <c r="Y72">
        <v>2</v>
      </c>
      <c r="Z72">
        <v>0</v>
      </c>
      <c r="AB72">
        <f t="shared" si="8"/>
        <v>4</v>
      </c>
      <c r="AD72">
        <v>2</v>
      </c>
      <c r="AE72">
        <v>2</v>
      </c>
      <c r="AF72">
        <v>2</v>
      </c>
      <c r="AG72">
        <v>2</v>
      </c>
      <c r="AI72">
        <f t="shared" si="13"/>
        <v>8</v>
      </c>
      <c r="AK72">
        <v>422</v>
      </c>
      <c r="AM72">
        <v>3</v>
      </c>
      <c r="AO72">
        <v>1</v>
      </c>
    </row>
    <row r="73" spans="2:41" x14ac:dyDescent="0.35">
      <c r="B73">
        <v>0</v>
      </c>
      <c r="C73">
        <v>0</v>
      </c>
      <c r="D73">
        <v>0</v>
      </c>
      <c r="G73">
        <f t="shared" si="12"/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Q73">
        <f t="shared" si="7"/>
        <v>1</v>
      </c>
      <c r="S73">
        <v>3</v>
      </c>
      <c r="T73">
        <v>20</v>
      </c>
      <c r="V73">
        <f t="shared" si="14"/>
        <v>3</v>
      </c>
      <c r="X73">
        <v>1</v>
      </c>
      <c r="Y73">
        <v>1</v>
      </c>
      <c r="Z73">
        <v>0</v>
      </c>
      <c r="AB73">
        <f t="shared" si="8"/>
        <v>2</v>
      </c>
      <c r="AD73">
        <v>2</v>
      </c>
      <c r="AE73">
        <v>2</v>
      </c>
      <c r="AF73">
        <v>2</v>
      </c>
      <c r="AG73">
        <v>2</v>
      </c>
      <c r="AI73">
        <f t="shared" si="13"/>
        <v>8</v>
      </c>
      <c r="AK73">
        <v>715</v>
      </c>
      <c r="AM73">
        <v>2</v>
      </c>
      <c r="AO73">
        <v>1</v>
      </c>
    </row>
  </sheetData>
  <mergeCells count="5">
    <mergeCell ref="B1:D1"/>
    <mergeCell ref="I1:O1"/>
    <mergeCell ref="S1:T1"/>
    <mergeCell ref="X1:Z1"/>
    <mergeCell ref="AD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indikator</vt:lpstr>
      <vt:lpstr>Multivariabel + Perhitungan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Noven ven</dc:creator>
  <cp:lastModifiedBy>Noven ven</cp:lastModifiedBy>
  <dcterms:created xsi:type="dcterms:W3CDTF">2026-05-19T02:20:54Z</dcterms:created>
  <dcterms:modified xsi:type="dcterms:W3CDTF">2026-05-25T08:54:43Z</dcterms:modified>
</cp:coreProperties>
</file>